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w folder\"/>
    </mc:Choice>
  </mc:AlternateContent>
  <xr:revisionPtr revIDLastSave="0" documentId="8_{4DE2DEB5-408C-489A-AC56-2E62B19F17E0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JSWENERGY stock Analysis" sheetId="1" r:id="rId1"/>
    <sheet name="Trend Analysis of Stock" sheetId="3" r:id="rId2"/>
    <sheet name="Trend Analysis of Volume" sheetId="2" r:id="rId3"/>
    <sheet name="ROI Calculation" sheetId="4" r:id="rId4"/>
    <sheet name="Standard D &amp; Variance" sheetId="5" r:id="rId5"/>
    <sheet name="Moving Averages calculation" sheetId="6" r:id="rId6"/>
    <sheet name="RSI Calculation" sheetId="7" r:id="rId7"/>
    <sheet name="MACD" sheetId="8" r:id="rId8"/>
    <sheet name="Balance Sheet" sheetId="9" r:id="rId9"/>
    <sheet name="Income Statement" sheetId="10" r:id="rId10"/>
    <sheet name="Horizontal analysis of P&amp;L" sheetId="12" r:id="rId11"/>
    <sheet name="Horizontal analysis of BS" sheetId="15" r:id="rId12"/>
    <sheet name="Variance Analysis P&amp;L" sheetId="16" r:id="rId13"/>
    <sheet name="Vertical Analysis P&amp;L" sheetId="17" r:id="rId14"/>
    <sheet name="Vertical Analysis BS" sheetId="18" r:id="rId15"/>
    <sheet name="Ratio Analysis" sheetId="20" r:id="rId16"/>
  </sheets>
  <definedNames>
    <definedName name="_xlchart.v1.0" hidden="1">'ROI Calculation'!$H$3:$H$21</definedName>
    <definedName name="_xlchart.v1.1" hidden="1">'ROI Calculation'!$I$1:$I$2</definedName>
    <definedName name="_xlchart.v1.2" hidden="1">'ROI Calculation'!$I$3:$I$21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6" i="16" l="1"/>
  <c r="C11" i="20"/>
  <c r="F2" i="8"/>
  <c r="F214" i="8"/>
  <c r="F213" i="8" s="1"/>
  <c r="F212" i="8" s="1"/>
  <c r="F211" i="8" s="1"/>
  <c r="F210" i="8" s="1"/>
  <c r="F209" i="8" s="1"/>
  <c r="F208" i="8" s="1"/>
  <c r="F207" i="8" s="1"/>
  <c r="F206" i="8" s="1"/>
  <c r="F205" i="8" s="1"/>
  <c r="F204" i="8" s="1"/>
  <c r="F203" i="8" s="1"/>
  <c r="F202" i="8" s="1"/>
  <c r="F201" i="8" s="1"/>
  <c r="F200" i="8" s="1"/>
  <c r="F199" i="8" s="1"/>
  <c r="F198" i="8" s="1"/>
  <c r="F197" i="8" s="1"/>
  <c r="F196" i="8" s="1"/>
  <c r="F195" i="8" s="1"/>
  <c r="F194" i="8" s="1"/>
  <c r="F193" i="8" s="1"/>
  <c r="F192" i="8" s="1"/>
  <c r="F191" i="8" s="1"/>
  <c r="F190" i="8" s="1"/>
  <c r="F189" i="8" s="1"/>
  <c r="F188" i="8" s="1"/>
  <c r="F187" i="8" s="1"/>
  <c r="F186" i="8" s="1"/>
  <c r="F185" i="8" s="1"/>
  <c r="F184" i="8" s="1"/>
  <c r="F183" i="8" s="1"/>
  <c r="F182" i="8" s="1"/>
  <c r="F181" i="8" s="1"/>
  <c r="F180" i="8" s="1"/>
  <c r="F179" i="8" s="1"/>
  <c r="F178" i="8" s="1"/>
  <c r="F177" i="8" s="1"/>
  <c r="F176" i="8" s="1"/>
  <c r="F175" i="8" s="1"/>
  <c r="F174" i="8" s="1"/>
  <c r="F173" i="8" s="1"/>
  <c r="F172" i="8" s="1"/>
  <c r="F171" i="8" s="1"/>
  <c r="F170" i="8" s="1"/>
  <c r="F169" i="8" s="1"/>
  <c r="F168" i="8" s="1"/>
  <c r="F167" i="8" s="1"/>
  <c r="F166" i="8" s="1"/>
  <c r="F165" i="8" s="1"/>
  <c r="F164" i="8" s="1"/>
  <c r="F163" i="8" s="1"/>
  <c r="F162" i="8" s="1"/>
  <c r="F161" i="8" s="1"/>
  <c r="F160" i="8" s="1"/>
  <c r="F159" i="8" s="1"/>
  <c r="F158" i="8" s="1"/>
  <c r="F157" i="8" s="1"/>
  <c r="F156" i="8" s="1"/>
  <c r="F155" i="8" s="1"/>
  <c r="F154" i="8" s="1"/>
  <c r="F153" i="8" s="1"/>
  <c r="F152" i="8" s="1"/>
  <c r="F151" i="8" s="1"/>
  <c r="F150" i="8" s="1"/>
  <c r="F149" i="8" s="1"/>
  <c r="F148" i="8" s="1"/>
  <c r="F147" i="8" s="1"/>
  <c r="F146" i="8" s="1"/>
  <c r="F145" i="8" s="1"/>
  <c r="F144" i="8" s="1"/>
  <c r="F143" i="8" s="1"/>
  <c r="F142" i="8" s="1"/>
  <c r="F141" i="8" s="1"/>
  <c r="F140" i="8" s="1"/>
  <c r="F139" i="8" s="1"/>
  <c r="F138" i="8" s="1"/>
  <c r="F137" i="8" s="1"/>
  <c r="F136" i="8" s="1"/>
  <c r="F135" i="8" s="1"/>
  <c r="F134" i="8" s="1"/>
  <c r="F133" i="8" s="1"/>
  <c r="F132" i="8" s="1"/>
  <c r="F131" i="8" s="1"/>
  <c r="F130" i="8" s="1"/>
  <c r="F129" i="8" s="1"/>
  <c r="F128" i="8" s="1"/>
  <c r="F127" i="8" s="1"/>
  <c r="F126" i="8" s="1"/>
  <c r="F125" i="8" s="1"/>
  <c r="F124" i="8" s="1"/>
  <c r="F123" i="8" s="1"/>
  <c r="F122" i="8" s="1"/>
  <c r="F121" i="8" s="1"/>
  <c r="F120" i="8" s="1"/>
  <c r="F119" i="8" s="1"/>
  <c r="F118" i="8" s="1"/>
  <c r="F117" i="8" s="1"/>
  <c r="F116" i="8" s="1"/>
  <c r="F115" i="8" s="1"/>
  <c r="F114" i="8" s="1"/>
  <c r="F113" i="8" s="1"/>
  <c r="F112" i="8" s="1"/>
  <c r="F111" i="8" s="1"/>
  <c r="F110" i="8" s="1"/>
  <c r="F109" i="8" s="1"/>
  <c r="F108" i="8" s="1"/>
  <c r="F107" i="8" s="1"/>
  <c r="F106" i="8" s="1"/>
  <c r="F105" i="8" s="1"/>
  <c r="F104" i="8" s="1"/>
  <c r="F103" i="8" s="1"/>
  <c r="F102" i="8" s="1"/>
  <c r="F101" i="8" s="1"/>
  <c r="F100" i="8" s="1"/>
  <c r="F99" i="8" s="1"/>
  <c r="F98" i="8" s="1"/>
  <c r="F97" i="8" s="1"/>
  <c r="F96" i="8" s="1"/>
  <c r="F95" i="8" s="1"/>
  <c r="F94" i="8" s="1"/>
  <c r="F93" i="8" s="1"/>
  <c r="F92" i="8" s="1"/>
  <c r="F91" i="8" s="1"/>
  <c r="F90" i="8" s="1"/>
  <c r="F89" i="8" s="1"/>
  <c r="F88" i="8" s="1"/>
  <c r="F87" i="8" s="1"/>
  <c r="F86" i="8" s="1"/>
  <c r="F85" i="8" s="1"/>
  <c r="F84" i="8" s="1"/>
  <c r="F83" i="8" s="1"/>
  <c r="F82" i="8" s="1"/>
  <c r="F81" i="8" s="1"/>
  <c r="F80" i="8" s="1"/>
  <c r="F79" i="8" s="1"/>
  <c r="F78" i="8" s="1"/>
  <c r="F77" i="8" s="1"/>
  <c r="F76" i="8" s="1"/>
  <c r="F75" i="8" s="1"/>
  <c r="F74" i="8" s="1"/>
  <c r="F73" i="8" s="1"/>
  <c r="F72" i="8" s="1"/>
  <c r="F71" i="8" s="1"/>
  <c r="F70" i="8" s="1"/>
  <c r="F69" i="8" s="1"/>
  <c r="F68" i="8" s="1"/>
  <c r="F67" i="8" s="1"/>
  <c r="F66" i="8" s="1"/>
  <c r="F65" i="8" s="1"/>
  <c r="F64" i="8" s="1"/>
  <c r="F63" i="8" s="1"/>
  <c r="F62" i="8" s="1"/>
  <c r="F61" i="8" s="1"/>
  <c r="F60" i="8" s="1"/>
  <c r="F59" i="8" s="1"/>
  <c r="F58" i="8" s="1"/>
  <c r="F57" i="8" s="1"/>
  <c r="F56" i="8" s="1"/>
  <c r="F55" i="8" s="1"/>
  <c r="F54" i="8" s="1"/>
  <c r="F53" i="8" s="1"/>
  <c r="F52" i="8" s="1"/>
  <c r="F51" i="8" s="1"/>
  <c r="F50" i="8" s="1"/>
  <c r="F49" i="8" s="1"/>
  <c r="F48" i="8" s="1"/>
  <c r="F47" i="8" s="1"/>
  <c r="F46" i="8" s="1"/>
  <c r="F45" i="8" s="1"/>
  <c r="F44" i="8" s="1"/>
  <c r="F43" i="8" s="1"/>
  <c r="F42" i="8" s="1"/>
  <c r="F41" i="8" s="1"/>
  <c r="F40" i="8" s="1"/>
  <c r="F39" i="8" s="1"/>
  <c r="F38" i="8" s="1"/>
  <c r="F37" i="8" s="1"/>
  <c r="F36" i="8" s="1"/>
  <c r="F35" i="8" s="1"/>
  <c r="F34" i="8" s="1"/>
  <c r="F33" i="8" s="1"/>
  <c r="F32" i="8" s="1"/>
  <c r="F31" i="8" s="1"/>
  <c r="F30" i="8" s="1"/>
  <c r="F29" i="8" s="1"/>
  <c r="F28" i="8" s="1"/>
  <c r="F27" i="8" s="1"/>
  <c r="F26" i="8" s="1"/>
  <c r="F25" i="8" s="1"/>
  <c r="F24" i="8" s="1"/>
  <c r="F23" i="8" s="1"/>
  <c r="F22" i="8" s="1"/>
  <c r="F21" i="8" s="1"/>
  <c r="F20" i="8" s="1"/>
  <c r="F19" i="8" s="1"/>
  <c r="F18" i="8" s="1"/>
  <c r="F17" i="8" s="1"/>
  <c r="F16" i="8" s="1"/>
  <c r="F15" i="8" s="1"/>
  <c r="F14" i="8" s="1"/>
  <c r="F13" i="8" s="1"/>
  <c r="F12" i="8" s="1"/>
  <c r="F11" i="8" s="1"/>
  <c r="F10" i="8" s="1"/>
  <c r="F9" i="8" s="1"/>
  <c r="F8" i="8" s="1"/>
  <c r="F7" i="8" s="1"/>
  <c r="F6" i="8" s="1"/>
  <c r="F5" i="8" s="1"/>
  <c r="F4" i="8" s="1"/>
  <c r="F3" i="8" s="1"/>
  <c r="F215" i="8"/>
  <c r="B3" i="20" l="1"/>
  <c r="C3" i="20"/>
  <c r="O29" i="18"/>
  <c r="J31" i="17"/>
  <c r="I31" i="17"/>
  <c r="I24" i="17"/>
  <c r="M22" i="17"/>
  <c r="M23" i="17"/>
  <c r="M25" i="17"/>
  <c r="M26" i="17"/>
  <c r="M27" i="17"/>
  <c r="M28" i="17"/>
  <c r="M29" i="17"/>
  <c r="M30" i="17"/>
  <c r="M31" i="17"/>
  <c r="P31" i="17" s="1"/>
  <c r="M24" i="17"/>
  <c r="K24" i="17"/>
  <c r="L24" i="17"/>
  <c r="J22" i="17"/>
  <c r="J23" i="17"/>
  <c r="J25" i="17"/>
  <c r="J26" i="17"/>
  <c r="J27" i="17"/>
  <c r="J28" i="17"/>
  <c r="J29" i="17"/>
  <c r="J30" i="17"/>
  <c r="J24" i="17"/>
  <c r="K22" i="17"/>
  <c r="K23" i="17"/>
  <c r="K25" i="17"/>
  <c r="K26" i="17"/>
  <c r="K27" i="17"/>
  <c r="K28" i="17"/>
  <c r="K29" i="17"/>
  <c r="K30" i="17"/>
  <c r="K31" i="17"/>
  <c r="I22" i="17"/>
  <c r="I23" i="17"/>
  <c r="I25" i="17"/>
  <c r="I26" i="17"/>
  <c r="I27" i="17"/>
  <c r="I28" i="17"/>
  <c r="I29" i="17"/>
  <c r="I30" i="17"/>
  <c r="L25" i="17"/>
  <c r="L26" i="17"/>
  <c r="L27" i="17"/>
  <c r="L28" i="17"/>
  <c r="L29" i="17"/>
  <c r="L30" i="17"/>
  <c r="L31" i="17"/>
  <c r="L22" i="17"/>
  <c r="L23" i="17"/>
  <c r="I13" i="17"/>
  <c r="H14" i="17"/>
  <c r="L10" i="17"/>
  <c r="L11" i="17"/>
  <c r="M11" i="17"/>
  <c r="P11" i="17" s="1"/>
  <c r="G7" i="16"/>
  <c r="H7" i="16" s="1"/>
  <c r="G6" i="16"/>
  <c r="G23" i="7" l="1"/>
  <c r="G3" i="5"/>
  <c r="F20" i="2"/>
  <c r="O9" i="8" l="1"/>
  <c r="O7" i="6"/>
  <c r="C23" i="20"/>
  <c r="B23" i="20"/>
  <c r="B22" i="20"/>
  <c r="C22" i="20"/>
  <c r="C49" i="9"/>
  <c r="B50" i="9" s="1"/>
  <c r="B18" i="20" s="1"/>
  <c r="D49" i="9"/>
  <c r="E49" i="9"/>
  <c r="D50" i="9" s="1"/>
  <c r="F49" i="9"/>
  <c r="E50" i="9" s="1"/>
  <c r="B49" i="9"/>
  <c r="B16" i="20"/>
  <c r="D47" i="9"/>
  <c r="E47" i="9"/>
  <c r="C47" i="9"/>
  <c r="C17" i="20" s="1"/>
  <c r="B47" i="9"/>
  <c r="B17" i="20" s="1"/>
  <c r="C12" i="20"/>
  <c r="B18" i="10"/>
  <c r="C50" i="9" l="1"/>
  <c r="C18" i="20" s="1"/>
  <c r="C16" i="20"/>
  <c r="B12" i="20"/>
  <c r="B11" i="20"/>
  <c r="F18" i="10"/>
  <c r="C18" i="10"/>
  <c r="D18" i="10"/>
  <c r="E18" i="10"/>
  <c r="E48" i="9"/>
  <c r="D48" i="9"/>
  <c r="C48" i="9"/>
  <c r="C15" i="20" s="1"/>
  <c r="B48" i="9"/>
  <c r="B15" i="20" s="1"/>
  <c r="C9" i="20"/>
  <c r="B9" i="20"/>
  <c r="C6" i="20"/>
  <c r="B6" i="20"/>
  <c r="C24" i="9"/>
  <c r="D24" i="9"/>
  <c r="E24" i="9"/>
  <c r="F24" i="9"/>
  <c r="B24" i="9"/>
  <c r="C23" i="9"/>
  <c r="D23" i="9"/>
  <c r="D46" i="9" s="1"/>
  <c r="E23" i="9"/>
  <c r="E46" i="9" s="1"/>
  <c r="F23" i="9"/>
  <c r="F46" i="9" s="1"/>
  <c r="B23" i="9"/>
  <c r="C4" i="20"/>
  <c r="B4" i="20"/>
  <c r="O9" i="18"/>
  <c r="O6" i="18"/>
  <c r="O7" i="18"/>
  <c r="O8" i="18"/>
  <c r="O11" i="18"/>
  <c r="O12" i="18"/>
  <c r="O13" i="18"/>
  <c r="O14" i="18"/>
  <c r="O15" i="18"/>
  <c r="O17" i="18"/>
  <c r="O18" i="18"/>
  <c r="O19" i="18"/>
  <c r="O20" i="18"/>
  <c r="O21" i="18"/>
  <c r="O22" i="18"/>
  <c r="O25" i="18"/>
  <c r="O26" i="18"/>
  <c r="O27" i="18"/>
  <c r="O28" i="18"/>
  <c r="O30" i="18"/>
  <c r="O31" i="18"/>
  <c r="O32" i="18"/>
  <c r="O33" i="18"/>
  <c r="O34" i="18"/>
  <c r="O36" i="18"/>
  <c r="O37" i="18"/>
  <c r="O38" i="18"/>
  <c r="O39" i="18"/>
  <c r="O40" i="18"/>
  <c r="O41" i="18"/>
  <c r="O42" i="18"/>
  <c r="O43" i="18"/>
  <c r="O46" i="18"/>
  <c r="O47" i="18"/>
  <c r="O48" i="18"/>
  <c r="O49" i="18"/>
  <c r="O50" i="18"/>
  <c r="O51" i="18"/>
  <c r="O53" i="18"/>
  <c r="O54" i="18"/>
  <c r="O56" i="18"/>
  <c r="O58" i="18"/>
  <c r="O59" i="18"/>
  <c r="O60" i="18"/>
  <c r="O61" i="18"/>
  <c r="O62" i="18"/>
  <c r="O63" i="18"/>
  <c r="O66" i="18"/>
  <c r="O5" i="18"/>
  <c r="P22" i="17"/>
  <c r="P23" i="17"/>
  <c r="P24" i="17"/>
  <c r="P25" i="17"/>
  <c r="P26" i="17"/>
  <c r="P27" i="17"/>
  <c r="P28" i="17"/>
  <c r="P29" i="17"/>
  <c r="P30" i="17"/>
  <c r="L35" i="17"/>
  <c r="I36" i="17"/>
  <c r="K36" i="17"/>
  <c r="I37" i="17"/>
  <c r="M37" i="17"/>
  <c r="I38" i="17"/>
  <c r="L38" i="17"/>
  <c r="M38" i="17"/>
  <c r="P38" i="17" s="1"/>
  <c r="L39" i="17"/>
  <c r="I40" i="17"/>
  <c r="K40" i="17"/>
  <c r="I41" i="17"/>
  <c r="M41" i="17"/>
  <c r="I42" i="17"/>
  <c r="L42" i="17"/>
  <c r="M42" i="17"/>
  <c r="P42" i="17" s="1"/>
  <c r="C35" i="17"/>
  <c r="L36" i="17" s="1"/>
  <c r="D35" i="17"/>
  <c r="K37" i="17" s="1"/>
  <c r="E35" i="17"/>
  <c r="J38" i="17" s="1"/>
  <c r="F35" i="17"/>
  <c r="I35" i="17" s="1"/>
  <c r="B35" i="17"/>
  <c r="M35" i="17" s="1"/>
  <c r="P35" i="17" s="1"/>
  <c r="M66" i="18"/>
  <c r="L66" i="18"/>
  <c r="K66" i="18"/>
  <c r="J66" i="18"/>
  <c r="I66" i="18"/>
  <c r="I62" i="18"/>
  <c r="J62" i="18"/>
  <c r="K62" i="18"/>
  <c r="L62" i="18"/>
  <c r="M62" i="18"/>
  <c r="I63" i="18"/>
  <c r="J63" i="18"/>
  <c r="L63" i="18"/>
  <c r="M63" i="18"/>
  <c r="M61" i="18"/>
  <c r="L61" i="18"/>
  <c r="K61" i="18"/>
  <c r="J61" i="18"/>
  <c r="I61" i="18"/>
  <c r="C61" i="18"/>
  <c r="D61" i="18"/>
  <c r="E61" i="18"/>
  <c r="F61" i="18"/>
  <c r="B61" i="18"/>
  <c r="M60" i="18"/>
  <c r="L60" i="18"/>
  <c r="K60" i="18"/>
  <c r="J60" i="18"/>
  <c r="I60" i="18"/>
  <c r="M58" i="18"/>
  <c r="I54" i="18"/>
  <c r="J54" i="18"/>
  <c r="K54" i="18"/>
  <c r="L54" i="18"/>
  <c r="M54" i="18"/>
  <c r="I56" i="18"/>
  <c r="J56" i="18"/>
  <c r="K56" i="18"/>
  <c r="L56" i="18"/>
  <c r="M56" i="18"/>
  <c r="I59" i="18"/>
  <c r="J59" i="18"/>
  <c r="K59" i="18"/>
  <c r="L59" i="18"/>
  <c r="M59" i="18"/>
  <c r="M53" i="18"/>
  <c r="L53" i="18"/>
  <c r="K53" i="18"/>
  <c r="J53" i="18"/>
  <c r="I53" i="18"/>
  <c r="I47" i="18"/>
  <c r="J47" i="18"/>
  <c r="K47" i="18"/>
  <c r="L47" i="18"/>
  <c r="M47" i="18"/>
  <c r="I48" i="18"/>
  <c r="J48" i="18"/>
  <c r="K48" i="18"/>
  <c r="L48" i="18"/>
  <c r="M48" i="18"/>
  <c r="I49" i="18"/>
  <c r="J49" i="18"/>
  <c r="K49" i="18"/>
  <c r="L49" i="18"/>
  <c r="M49" i="18"/>
  <c r="I50" i="18"/>
  <c r="J50" i="18"/>
  <c r="K50" i="18"/>
  <c r="L50" i="18"/>
  <c r="M50" i="18"/>
  <c r="I51" i="18"/>
  <c r="J51" i="18"/>
  <c r="K51" i="18"/>
  <c r="L51" i="18"/>
  <c r="M51" i="18"/>
  <c r="M46" i="18"/>
  <c r="L46" i="18"/>
  <c r="K46" i="18"/>
  <c r="J46" i="18"/>
  <c r="I46" i="18"/>
  <c r="M36" i="18"/>
  <c r="M37" i="18"/>
  <c r="M38" i="18"/>
  <c r="M39" i="18"/>
  <c r="M40" i="18"/>
  <c r="M41" i="18"/>
  <c r="M42" i="18"/>
  <c r="L36" i="18"/>
  <c r="L37" i="18"/>
  <c r="L38" i="18"/>
  <c r="L39" i="18"/>
  <c r="L40" i="18"/>
  <c r="L41" i="18"/>
  <c r="L42" i="18"/>
  <c r="K36" i="18"/>
  <c r="K37" i="18"/>
  <c r="K38" i="18"/>
  <c r="K39" i="18"/>
  <c r="K40" i="18"/>
  <c r="K41" i="18"/>
  <c r="K42" i="18"/>
  <c r="J36" i="18"/>
  <c r="J37" i="18"/>
  <c r="J38" i="18"/>
  <c r="J39" i="18"/>
  <c r="J40" i="18"/>
  <c r="J41" i="18"/>
  <c r="J42" i="18"/>
  <c r="I36" i="18"/>
  <c r="I37" i="18"/>
  <c r="I38" i="18"/>
  <c r="I39" i="18"/>
  <c r="I40" i="18"/>
  <c r="I41" i="18"/>
  <c r="I42" i="18"/>
  <c r="M26" i="18"/>
  <c r="M27" i="18"/>
  <c r="M25" i="18"/>
  <c r="M28" i="18"/>
  <c r="M29" i="18"/>
  <c r="M30" i="18"/>
  <c r="M31" i="18"/>
  <c r="M32" i="18"/>
  <c r="M33" i="18"/>
  <c r="L25" i="18"/>
  <c r="L26" i="18"/>
  <c r="L27" i="18"/>
  <c r="L28" i="18"/>
  <c r="L29" i="18"/>
  <c r="L30" i="18"/>
  <c r="L31" i="18"/>
  <c r="L32" i="18"/>
  <c r="L33" i="18"/>
  <c r="K25" i="18"/>
  <c r="K26" i="18"/>
  <c r="K27" i="18"/>
  <c r="K28" i="18"/>
  <c r="K29" i="18"/>
  <c r="K30" i="18"/>
  <c r="K31" i="18"/>
  <c r="K32" i="18"/>
  <c r="K33" i="18"/>
  <c r="J25" i="18"/>
  <c r="J26" i="18"/>
  <c r="J27" i="18"/>
  <c r="J28" i="18"/>
  <c r="J29" i="18"/>
  <c r="J30" i="18"/>
  <c r="J31" i="18"/>
  <c r="J32" i="18"/>
  <c r="J33" i="18"/>
  <c r="I25" i="18"/>
  <c r="I26" i="18"/>
  <c r="I27" i="18"/>
  <c r="I28" i="18"/>
  <c r="I29" i="18"/>
  <c r="I30" i="18"/>
  <c r="I31" i="18"/>
  <c r="I32" i="18"/>
  <c r="I33" i="18"/>
  <c r="M43" i="18"/>
  <c r="L43" i="18"/>
  <c r="K43" i="18"/>
  <c r="J43" i="18"/>
  <c r="I43" i="18"/>
  <c r="M34" i="18"/>
  <c r="L34" i="18"/>
  <c r="K34" i="18"/>
  <c r="J34" i="18"/>
  <c r="I34" i="18"/>
  <c r="M17" i="18"/>
  <c r="M18" i="18"/>
  <c r="M19" i="18"/>
  <c r="M20" i="18"/>
  <c r="M21" i="18"/>
  <c r="L17" i="18"/>
  <c r="L18" i="18"/>
  <c r="L19" i="18"/>
  <c r="L20" i="18"/>
  <c r="L21" i="18"/>
  <c r="K17" i="18"/>
  <c r="K18" i="18"/>
  <c r="K19" i="18"/>
  <c r="K20" i="18"/>
  <c r="K21" i="18"/>
  <c r="J17" i="18"/>
  <c r="J18" i="18"/>
  <c r="J19" i="18"/>
  <c r="J20" i="18"/>
  <c r="J21" i="18"/>
  <c r="I17" i="18"/>
  <c r="I18" i="18"/>
  <c r="I19" i="18"/>
  <c r="I20" i="18"/>
  <c r="I21" i="18"/>
  <c r="M22" i="18"/>
  <c r="L22" i="18"/>
  <c r="K22" i="18"/>
  <c r="J22" i="18"/>
  <c r="I22" i="18"/>
  <c r="M11" i="18"/>
  <c r="M12" i="18"/>
  <c r="M13" i="18"/>
  <c r="M14" i="18"/>
  <c r="L11" i="18"/>
  <c r="L12" i="18"/>
  <c r="L13" i="18"/>
  <c r="L14" i="18"/>
  <c r="K11" i="18"/>
  <c r="K12" i="18"/>
  <c r="K13" i="18"/>
  <c r="K14" i="18"/>
  <c r="J11" i="18"/>
  <c r="J12" i="18"/>
  <c r="J13" i="18"/>
  <c r="J14" i="18"/>
  <c r="I11" i="18"/>
  <c r="I12" i="18"/>
  <c r="I13" i="18"/>
  <c r="I14" i="18"/>
  <c r="M15" i="18"/>
  <c r="L15" i="18"/>
  <c r="K15" i="18"/>
  <c r="J15" i="18"/>
  <c r="I15" i="18"/>
  <c r="M5" i="18"/>
  <c r="M6" i="18"/>
  <c r="M7" i="18"/>
  <c r="M8" i="18"/>
  <c r="L5" i="18"/>
  <c r="L6" i="18"/>
  <c r="L7" i="18"/>
  <c r="L8" i="18"/>
  <c r="K5" i="18"/>
  <c r="K6" i="18"/>
  <c r="K7" i="18"/>
  <c r="K8" i="18"/>
  <c r="M9" i="18"/>
  <c r="L9" i="18"/>
  <c r="K9" i="18"/>
  <c r="J5" i="18"/>
  <c r="J6" i="18"/>
  <c r="J7" i="18"/>
  <c r="J8" i="18"/>
  <c r="J9" i="18"/>
  <c r="I8" i="18"/>
  <c r="I6" i="18"/>
  <c r="I5" i="18"/>
  <c r="I7" i="18"/>
  <c r="I9" i="18"/>
  <c r="P37" i="17" l="1"/>
  <c r="J34" i="17"/>
  <c r="J41" i="17"/>
  <c r="J37" i="17"/>
  <c r="K34" i="17"/>
  <c r="J40" i="17"/>
  <c r="K39" i="17"/>
  <c r="J36" i="17"/>
  <c r="K35" i="17"/>
  <c r="L34" i="17"/>
  <c r="K42" i="17"/>
  <c r="L41" i="17"/>
  <c r="P41" i="17" s="1"/>
  <c r="M40" i="17"/>
  <c r="J39" i="17"/>
  <c r="K38" i="17"/>
  <c r="L37" i="17"/>
  <c r="M36" i="17"/>
  <c r="P36" i="17" s="1"/>
  <c r="J35" i="17"/>
  <c r="I34" i="17"/>
  <c r="M34" i="17"/>
  <c r="J42" i="17"/>
  <c r="K41" i="17"/>
  <c r="L40" i="17"/>
  <c r="M39" i="17"/>
  <c r="P39" i="17" s="1"/>
  <c r="I39" i="17"/>
  <c r="C5" i="20"/>
  <c r="C46" i="9"/>
  <c r="C24" i="20" s="1"/>
  <c r="B5" i="20"/>
  <c r="B46" i="9"/>
  <c r="B24" i="20" s="1"/>
  <c r="B10" i="20"/>
  <c r="C10" i="20"/>
  <c r="M13" i="17"/>
  <c r="M14" i="17"/>
  <c r="M15" i="17"/>
  <c r="P15" i="17" s="1"/>
  <c r="M16" i="17"/>
  <c r="P16" i="17" s="1"/>
  <c r="M17" i="17"/>
  <c r="M18" i="17"/>
  <c r="L13" i="17"/>
  <c r="L14" i="17"/>
  <c r="L15" i="17"/>
  <c r="L16" i="17"/>
  <c r="L17" i="17"/>
  <c r="L18" i="17"/>
  <c r="M19" i="17"/>
  <c r="L19" i="17"/>
  <c r="K13" i="17"/>
  <c r="K14" i="17"/>
  <c r="K15" i="17"/>
  <c r="K16" i="17"/>
  <c r="K17" i="17"/>
  <c r="K18" i="17"/>
  <c r="K19" i="17"/>
  <c r="J13" i="17"/>
  <c r="J14" i="17"/>
  <c r="J15" i="17"/>
  <c r="J16" i="17"/>
  <c r="J17" i="17"/>
  <c r="J18" i="17"/>
  <c r="J19" i="17"/>
  <c r="I14" i="17"/>
  <c r="I15" i="17"/>
  <c r="I16" i="17"/>
  <c r="I17" i="17"/>
  <c r="I18" i="17"/>
  <c r="I19" i="17"/>
  <c r="M6" i="17"/>
  <c r="M7" i="17"/>
  <c r="P7" i="17" s="1"/>
  <c r="M8" i="17"/>
  <c r="M9" i="17"/>
  <c r="M10" i="17"/>
  <c r="P10" i="17" s="1"/>
  <c r="L6" i="17"/>
  <c r="L7" i="17"/>
  <c r="L8" i="17"/>
  <c r="L9" i="17"/>
  <c r="K6" i="17"/>
  <c r="K7" i="17"/>
  <c r="K8" i="17"/>
  <c r="K9" i="17"/>
  <c r="K10" i="17"/>
  <c r="K11" i="17"/>
  <c r="J6" i="17"/>
  <c r="J7" i="17"/>
  <c r="J8" i="17"/>
  <c r="J9" i="17"/>
  <c r="J10" i="17"/>
  <c r="J11" i="17"/>
  <c r="I6" i="17"/>
  <c r="I7" i="17"/>
  <c r="I8" i="17"/>
  <c r="I9" i="17"/>
  <c r="I10" i="17"/>
  <c r="I11" i="17"/>
  <c r="H21" i="17"/>
  <c r="H11" i="17"/>
  <c r="H12" i="17"/>
  <c r="H13" i="17"/>
  <c r="H15" i="17"/>
  <c r="H16" i="17"/>
  <c r="H17" i="17"/>
  <c r="H18" i="17"/>
  <c r="H19" i="17"/>
  <c r="H20" i="17"/>
  <c r="H22" i="17"/>
  <c r="H23" i="17"/>
  <c r="H24" i="17"/>
  <c r="H25" i="17"/>
  <c r="H26" i="17"/>
  <c r="H27" i="17"/>
  <c r="H28" i="17"/>
  <c r="H29" i="17"/>
  <c r="H30" i="17"/>
  <c r="H31" i="17"/>
  <c r="H34" i="17"/>
  <c r="H35" i="17"/>
  <c r="H36" i="17"/>
  <c r="H37" i="17"/>
  <c r="H38" i="17"/>
  <c r="H39" i="17"/>
  <c r="H40" i="17"/>
  <c r="H41" i="17"/>
  <c r="H42" i="17"/>
  <c r="H43" i="17"/>
  <c r="H6" i="17"/>
  <c r="H7" i="17"/>
  <c r="H8" i="17"/>
  <c r="H9" i="17"/>
  <c r="H10" i="17"/>
  <c r="H5" i="17"/>
  <c r="L5" i="15"/>
  <c r="G13" i="16"/>
  <c r="H13" i="16" s="1"/>
  <c r="G14" i="16"/>
  <c r="H14" i="16" s="1"/>
  <c r="G15" i="16"/>
  <c r="H15" i="16" s="1"/>
  <c r="G16" i="16"/>
  <c r="H16" i="16" s="1"/>
  <c r="G17" i="16"/>
  <c r="H17" i="16" s="1"/>
  <c r="G18" i="16"/>
  <c r="H18" i="16" s="1"/>
  <c r="G19" i="16"/>
  <c r="H19" i="16" s="1"/>
  <c r="G22" i="16"/>
  <c r="H22" i="16" s="1"/>
  <c r="G23" i="16"/>
  <c r="H23" i="16" s="1"/>
  <c r="G24" i="16"/>
  <c r="H24" i="16" s="1"/>
  <c r="G26" i="16"/>
  <c r="H26" i="16" s="1"/>
  <c r="G27" i="16"/>
  <c r="H27" i="16" s="1"/>
  <c r="G28" i="16"/>
  <c r="H28" i="16" s="1"/>
  <c r="G29" i="16"/>
  <c r="H29" i="16" s="1"/>
  <c r="G30" i="16"/>
  <c r="H30" i="16" s="1"/>
  <c r="G31" i="16"/>
  <c r="H31" i="16" s="1"/>
  <c r="G32" i="16"/>
  <c r="H32" i="16" s="1"/>
  <c r="G36" i="16"/>
  <c r="H36" i="16" s="1"/>
  <c r="G37" i="16"/>
  <c r="H37" i="16" s="1"/>
  <c r="G41" i="16"/>
  <c r="H41" i="16" s="1"/>
  <c r="G11" i="16"/>
  <c r="H11" i="16" s="1"/>
  <c r="G8" i="16"/>
  <c r="G9" i="16"/>
  <c r="H9" i="16" s="1"/>
  <c r="G10" i="16"/>
  <c r="H10" i="16" s="1"/>
  <c r="P9" i="17" l="1"/>
  <c r="P18" i="17"/>
  <c r="P14" i="17"/>
  <c r="P40" i="17"/>
  <c r="P6" i="17"/>
  <c r="P8" i="17"/>
  <c r="P19" i="17"/>
  <c r="P17" i="17"/>
  <c r="P13" i="17"/>
  <c r="P34" i="17"/>
  <c r="L5" i="16"/>
  <c r="H8" i="16"/>
  <c r="L6" i="16" s="1"/>
  <c r="O6" i="15"/>
  <c r="O7" i="15"/>
  <c r="O8" i="15"/>
  <c r="O9" i="15"/>
  <c r="O11" i="15"/>
  <c r="O12" i="15"/>
  <c r="O13" i="15"/>
  <c r="O14" i="15"/>
  <c r="O15" i="15"/>
  <c r="O18" i="15"/>
  <c r="O19" i="15"/>
  <c r="O20" i="15"/>
  <c r="O21" i="15"/>
  <c r="O22" i="15"/>
  <c r="O25" i="15"/>
  <c r="O26" i="15"/>
  <c r="O27" i="15"/>
  <c r="O29" i="15"/>
  <c r="O30" i="15"/>
  <c r="O32" i="15"/>
  <c r="O33" i="15"/>
  <c r="O34" i="15"/>
  <c r="O36" i="15"/>
  <c r="O37" i="15"/>
  <c r="O38" i="15"/>
  <c r="O39" i="15"/>
  <c r="O40" i="15"/>
  <c r="O41" i="15"/>
  <c r="O42" i="15"/>
  <c r="O43" i="15"/>
  <c r="O46" i="15"/>
  <c r="O53" i="15"/>
  <c r="O60" i="15"/>
  <c r="O62" i="15"/>
  <c r="O63" i="15"/>
  <c r="O66" i="15"/>
  <c r="O5" i="15"/>
  <c r="N6" i="15"/>
  <c r="N7" i="15"/>
  <c r="N8" i="15"/>
  <c r="N9" i="15"/>
  <c r="N11" i="15"/>
  <c r="N12" i="15"/>
  <c r="N13" i="15"/>
  <c r="N14" i="15"/>
  <c r="N15" i="15"/>
  <c r="N18" i="15"/>
  <c r="N19" i="15"/>
  <c r="N20" i="15"/>
  <c r="N21" i="15"/>
  <c r="N22" i="15"/>
  <c r="N25" i="15"/>
  <c r="N26" i="15"/>
  <c r="N27" i="15"/>
  <c r="N29" i="15"/>
  <c r="N30" i="15"/>
  <c r="N32" i="15"/>
  <c r="N33" i="15"/>
  <c r="N34" i="15"/>
  <c r="N36" i="15"/>
  <c r="N37" i="15"/>
  <c r="N38" i="15"/>
  <c r="N39" i="15"/>
  <c r="N40" i="15"/>
  <c r="N41" i="15"/>
  <c r="N42" i="15"/>
  <c r="N43" i="15"/>
  <c r="N46" i="15"/>
  <c r="N53" i="15"/>
  <c r="N60" i="15"/>
  <c r="N62" i="15"/>
  <c r="N63" i="15"/>
  <c r="N66" i="15"/>
  <c r="N5" i="15"/>
  <c r="M6" i="15"/>
  <c r="M7" i="15"/>
  <c r="M8" i="15"/>
  <c r="M9" i="15"/>
  <c r="M11" i="15"/>
  <c r="M12" i="15"/>
  <c r="M13" i="15"/>
  <c r="M14" i="15"/>
  <c r="M15" i="15"/>
  <c r="M18" i="15"/>
  <c r="M19" i="15"/>
  <c r="M20" i="15"/>
  <c r="M21" i="15"/>
  <c r="M22" i="15"/>
  <c r="M25" i="15"/>
  <c r="M26" i="15"/>
  <c r="M27" i="15"/>
  <c r="M29" i="15"/>
  <c r="M30" i="15"/>
  <c r="M32" i="15"/>
  <c r="M33" i="15"/>
  <c r="M34" i="15"/>
  <c r="M36" i="15"/>
  <c r="M37" i="15"/>
  <c r="M38" i="15"/>
  <c r="M39" i="15"/>
  <c r="M40" i="15"/>
  <c r="M41" i="15"/>
  <c r="M42" i="15"/>
  <c r="M43" i="15"/>
  <c r="M46" i="15"/>
  <c r="M53" i="15"/>
  <c r="M60" i="15"/>
  <c r="M62" i="15"/>
  <c r="M66" i="15"/>
  <c r="M5" i="15"/>
  <c r="J6" i="12"/>
  <c r="L18" i="15"/>
  <c r="L19" i="15"/>
  <c r="L20" i="15"/>
  <c r="L21" i="15"/>
  <c r="L22" i="15"/>
  <c r="L25" i="15"/>
  <c r="L26" i="15"/>
  <c r="L27" i="15"/>
  <c r="L29" i="15"/>
  <c r="L30" i="15"/>
  <c r="L32" i="15"/>
  <c r="L33" i="15"/>
  <c r="L34" i="15"/>
  <c r="L36" i="15"/>
  <c r="L37" i="15"/>
  <c r="L38" i="15"/>
  <c r="L39" i="15"/>
  <c r="L40" i="15"/>
  <c r="L41" i="15"/>
  <c r="L42" i="15"/>
  <c r="L43" i="15"/>
  <c r="L46" i="15"/>
  <c r="L53" i="15"/>
  <c r="L60" i="15"/>
  <c r="L62" i="15"/>
  <c r="L63" i="15"/>
  <c r="L66" i="15"/>
  <c r="L6" i="15"/>
  <c r="L7" i="15"/>
  <c r="L8" i="15"/>
  <c r="L9" i="15"/>
  <c r="L11" i="15"/>
  <c r="L12" i="15"/>
  <c r="L13" i="15"/>
  <c r="L14" i="15"/>
  <c r="L15" i="15"/>
  <c r="M7" i="12"/>
  <c r="M8" i="12"/>
  <c r="M9" i="12"/>
  <c r="M10" i="12"/>
  <c r="M11" i="12"/>
  <c r="M14" i="12"/>
  <c r="M15" i="12"/>
  <c r="M16" i="12"/>
  <c r="M17" i="12"/>
  <c r="M18" i="12"/>
  <c r="M19" i="12"/>
  <c r="M20" i="12"/>
  <c r="M22" i="12"/>
  <c r="M23" i="12"/>
  <c r="M24" i="12"/>
  <c r="M26" i="12"/>
  <c r="M27" i="12"/>
  <c r="M28" i="12"/>
  <c r="M29" i="12"/>
  <c r="M30" i="12"/>
  <c r="M31" i="12"/>
  <c r="M32" i="12"/>
  <c r="M36" i="12"/>
  <c r="M37" i="12"/>
  <c r="M41" i="12"/>
  <c r="M42" i="12"/>
  <c r="M43" i="12"/>
  <c r="M6" i="12"/>
  <c r="L7" i="12"/>
  <c r="L8" i="12"/>
  <c r="L9" i="12"/>
  <c r="L10" i="12"/>
  <c r="L11" i="12"/>
  <c r="L14" i="12"/>
  <c r="L15" i="12"/>
  <c r="L16" i="12"/>
  <c r="L17" i="12"/>
  <c r="L18" i="12"/>
  <c r="L19" i="12"/>
  <c r="L20" i="12"/>
  <c r="L22" i="12"/>
  <c r="L23" i="12"/>
  <c r="L24" i="12"/>
  <c r="L26" i="12"/>
  <c r="L27" i="12"/>
  <c r="L28" i="12"/>
  <c r="L29" i="12"/>
  <c r="L30" i="12"/>
  <c r="L31" i="12"/>
  <c r="L32" i="12"/>
  <c r="L36" i="12"/>
  <c r="L37" i="12"/>
  <c r="L41" i="12"/>
  <c r="L42" i="12"/>
  <c r="L43" i="12"/>
  <c r="L6" i="12"/>
  <c r="J7" i="12"/>
  <c r="J8" i="12"/>
  <c r="J9" i="12"/>
  <c r="J10" i="12"/>
  <c r="J11" i="12"/>
  <c r="J14" i="12"/>
  <c r="J15" i="12"/>
  <c r="J16" i="12"/>
  <c r="J17" i="12"/>
  <c r="J18" i="12"/>
  <c r="J19" i="12"/>
  <c r="J20" i="12"/>
  <c r="J22" i="12"/>
  <c r="J23" i="12"/>
  <c r="J24" i="12"/>
  <c r="J26" i="12"/>
  <c r="J27" i="12"/>
  <c r="J28" i="12"/>
  <c r="J29" i="12"/>
  <c r="J30" i="12"/>
  <c r="J31" i="12"/>
  <c r="J32" i="12"/>
  <c r="J36" i="12"/>
  <c r="J37" i="12"/>
  <c r="J41" i="12"/>
  <c r="J42" i="12"/>
  <c r="J43" i="12"/>
  <c r="K7" i="12"/>
  <c r="K8" i="12"/>
  <c r="K9" i="12"/>
  <c r="K10" i="12"/>
  <c r="K11" i="12"/>
  <c r="K14" i="12"/>
  <c r="K15" i="12"/>
  <c r="K16" i="12"/>
  <c r="K17" i="12"/>
  <c r="K18" i="12"/>
  <c r="K19" i="12"/>
  <c r="K20" i="12"/>
  <c r="K22" i="12"/>
  <c r="K23" i="12"/>
  <c r="K24" i="12"/>
  <c r="K26" i="12"/>
  <c r="K27" i="12"/>
  <c r="K28" i="12"/>
  <c r="K29" i="12"/>
  <c r="K30" i="12"/>
  <c r="K31" i="12"/>
  <c r="K32" i="12"/>
  <c r="K36" i="12"/>
  <c r="K37" i="12"/>
  <c r="K41" i="12"/>
  <c r="K42" i="12"/>
  <c r="K43" i="12"/>
  <c r="K6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5" i="12"/>
  <c r="R5" i="12" l="1"/>
  <c r="R7" i="12"/>
  <c r="R8" i="12"/>
  <c r="R6" i="12"/>
  <c r="S6" i="15"/>
  <c r="S5" i="15"/>
  <c r="S7" i="15"/>
  <c r="S8" i="15"/>
  <c r="D223" i="8"/>
  <c r="C236" i="8"/>
  <c r="C235" i="8" s="1"/>
  <c r="C234" i="8" s="1"/>
  <c r="C233" i="8" s="1"/>
  <c r="C232" i="8" s="1"/>
  <c r="C231" i="8" s="1"/>
  <c r="C230" i="8" s="1"/>
  <c r="C229" i="8" s="1"/>
  <c r="C228" i="8" s="1"/>
  <c r="C227" i="8" s="1"/>
  <c r="C226" i="8" s="1"/>
  <c r="C225" i="8" s="1"/>
  <c r="C224" i="8" s="1"/>
  <c r="C223" i="8" s="1"/>
  <c r="C238" i="6"/>
  <c r="C237" i="8"/>
  <c r="C239" i="6"/>
  <c r="O5" i="6"/>
  <c r="O6" i="6"/>
  <c r="C222" i="8" l="1"/>
  <c r="E223" i="8"/>
  <c r="F2" i="7"/>
  <c r="G2" i="7"/>
  <c r="H2" i="7" s="1"/>
  <c r="F3" i="7"/>
  <c r="G3" i="7"/>
  <c r="H3" i="7"/>
  <c r="F4" i="7"/>
  <c r="G4" i="7"/>
  <c r="H4" i="7"/>
  <c r="F5" i="7"/>
  <c r="G5" i="7"/>
  <c r="H5" i="7"/>
  <c r="F6" i="7"/>
  <c r="G6" i="7"/>
  <c r="F7" i="7"/>
  <c r="G7" i="7"/>
  <c r="H7" i="7"/>
  <c r="F8" i="7"/>
  <c r="G8" i="7"/>
  <c r="I8" i="7" s="1"/>
  <c r="H8" i="7"/>
  <c r="F9" i="7"/>
  <c r="G9" i="7"/>
  <c r="H9" i="7" s="1"/>
  <c r="F10" i="7"/>
  <c r="G10" i="7"/>
  <c r="F11" i="7"/>
  <c r="G11" i="7"/>
  <c r="H11" i="7"/>
  <c r="F12" i="7"/>
  <c r="G12" i="7"/>
  <c r="F13" i="7"/>
  <c r="G13" i="7"/>
  <c r="H13" i="7" s="1"/>
  <c r="F14" i="7"/>
  <c r="G14" i="7"/>
  <c r="F15" i="7"/>
  <c r="G15" i="7"/>
  <c r="H15" i="7"/>
  <c r="F16" i="7"/>
  <c r="G16" i="7"/>
  <c r="F17" i="7"/>
  <c r="G17" i="7"/>
  <c r="H17" i="7" s="1"/>
  <c r="F18" i="7"/>
  <c r="G18" i="7"/>
  <c r="F19" i="7"/>
  <c r="G19" i="7"/>
  <c r="H19" i="7"/>
  <c r="F20" i="7"/>
  <c r="H20" i="7" s="1"/>
  <c r="G20" i="7"/>
  <c r="F21" i="7"/>
  <c r="H21" i="7" s="1"/>
  <c r="G21" i="7"/>
  <c r="F22" i="7"/>
  <c r="G22" i="7"/>
  <c r="F23" i="7"/>
  <c r="H23" i="7"/>
  <c r="M9" i="7" s="1"/>
  <c r="F24" i="7"/>
  <c r="H24" i="7" s="1"/>
  <c r="G24" i="7"/>
  <c r="F25" i="7"/>
  <c r="H25" i="7" s="1"/>
  <c r="G25" i="7"/>
  <c r="F26" i="7"/>
  <c r="G26" i="7"/>
  <c r="F27" i="7"/>
  <c r="G27" i="7"/>
  <c r="H27" i="7"/>
  <c r="F28" i="7"/>
  <c r="H28" i="7" s="1"/>
  <c r="G28" i="7"/>
  <c r="F29" i="7"/>
  <c r="H29" i="7" s="1"/>
  <c r="G29" i="7"/>
  <c r="F30" i="7"/>
  <c r="G30" i="7"/>
  <c r="F31" i="7"/>
  <c r="G31" i="7"/>
  <c r="H31" i="7"/>
  <c r="F32" i="7"/>
  <c r="H32" i="7" s="1"/>
  <c r="G32" i="7"/>
  <c r="F33" i="7"/>
  <c r="H33" i="7" s="1"/>
  <c r="G33" i="7"/>
  <c r="F34" i="7"/>
  <c r="G34" i="7"/>
  <c r="F35" i="7"/>
  <c r="G35" i="7"/>
  <c r="H35" i="7"/>
  <c r="F36" i="7"/>
  <c r="H36" i="7" s="1"/>
  <c r="G36" i="7"/>
  <c r="F37" i="7"/>
  <c r="H37" i="7" s="1"/>
  <c r="G37" i="7"/>
  <c r="F38" i="7"/>
  <c r="G38" i="7"/>
  <c r="F39" i="7"/>
  <c r="G39" i="7"/>
  <c r="H39" i="7"/>
  <c r="F40" i="7"/>
  <c r="H40" i="7" s="1"/>
  <c r="G40" i="7"/>
  <c r="F41" i="7"/>
  <c r="H41" i="7" s="1"/>
  <c r="G41" i="7"/>
  <c r="F42" i="7"/>
  <c r="G42" i="7"/>
  <c r="F43" i="7"/>
  <c r="G43" i="7"/>
  <c r="H43" i="7"/>
  <c r="F44" i="7"/>
  <c r="H44" i="7" s="1"/>
  <c r="G44" i="7"/>
  <c r="F45" i="7"/>
  <c r="H45" i="7" s="1"/>
  <c r="G45" i="7"/>
  <c r="F46" i="7"/>
  <c r="G46" i="7"/>
  <c r="F47" i="7"/>
  <c r="G47" i="7"/>
  <c r="H47" i="7"/>
  <c r="F48" i="7"/>
  <c r="H48" i="7" s="1"/>
  <c r="G48" i="7"/>
  <c r="F49" i="7"/>
  <c r="H49" i="7" s="1"/>
  <c r="G49" i="7"/>
  <c r="F50" i="7"/>
  <c r="G50" i="7"/>
  <c r="F51" i="7"/>
  <c r="G51" i="7"/>
  <c r="H51" i="7"/>
  <c r="F52" i="7"/>
  <c r="H52" i="7" s="1"/>
  <c r="G52" i="7"/>
  <c r="F53" i="7"/>
  <c r="H53" i="7" s="1"/>
  <c r="G53" i="7"/>
  <c r="F54" i="7"/>
  <c r="G54" i="7"/>
  <c r="F55" i="7"/>
  <c r="G55" i="7"/>
  <c r="H55" i="7"/>
  <c r="F56" i="7"/>
  <c r="H56" i="7" s="1"/>
  <c r="G56" i="7"/>
  <c r="F57" i="7"/>
  <c r="H57" i="7" s="1"/>
  <c r="G57" i="7"/>
  <c r="F58" i="7"/>
  <c r="G58" i="7"/>
  <c r="F59" i="7"/>
  <c r="G59" i="7"/>
  <c r="H59" i="7"/>
  <c r="F60" i="7"/>
  <c r="H60" i="7" s="1"/>
  <c r="G60" i="7"/>
  <c r="F61" i="7"/>
  <c r="H61" i="7" s="1"/>
  <c r="G61" i="7"/>
  <c r="F62" i="7"/>
  <c r="G62" i="7"/>
  <c r="F63" i="7"/>
  <c r="G63" i="7"/>
  <c r="H63" i="7"/>
  <c r="F64" i="7"/>
  <c r="H64" i="7" s="1"/>
  <c r="G64" i="7"/>
  <c r="F65" i="7"/>
  <c r="H65" i="7" s="1"/>
  <c r="G65" i="7"/>
  <c r="F66" i="7"/>
  <c r="G66" i="7"/>
  <c r="F67" i="7"/>
  <c r="G67" i="7"/>
  <c r="H67" i="7"/>
  <c r="F68" i="7"/>
  <c r="H68" i="7" s="1"/>
  <c r="G68" i="7"/>
  <c r="F69" i="7"/>
  <c r="H69" i="7" s="1"/>
  <c r="G69" i="7"/>
  <c r="F70" i="7"/>
  <c r="G70" i="7"/>
  <c r="F71" i="7"/>
  <c r="G71" i="7"/>
  <c r="H71" i="7"/>
  <c r="F72" i="7"/>
  <c r="H72" i="7" s="1"/>
  <c r="G72" i="7"/>
  <c r="F73" i="7"/>
  <c r="H73" i="7" s="1"/>
  <c r="G73" i="7"/>
  <c r="F74" i="7"/>
  <c r="G74" i="7"/>
  <c r="F75" i="7"/>
  <c r="G75" i="7"/>
  <c r="H75" i="7"/>
  <c r="F76" i="7"/>
  <c r="H76" i="7" s="1"/>
  <c r="G76" i="7"/>
  <c r="F77" i="7"/>
  <c r="H77" i="7" s="1"/>
  <c r="G77" i="7"/>
  <c r="F78" i="7"/>
  <c r="G78" i="7"/>
  <c r="F79" i="7"/>
  <c r="G79" i="7"/>
  <c r="H79" i="7"/>
  <c r="F80" i="7"/>
  <c r="H80" i="7" s="1"/>
  <c r="G80" i="7"/>
  <c r="F81" i="7"/>
  <c r="H81" i="7" s="1"/>
  <c r="G81" i="7"/>
  <c r="F82" i="7"/>
  <c r="G82" i="7"/>
  <c r="F83" i="7"/>
  <c r="G83" i="7"/>
  <c r="H83" i="7"/>
  <c r="F84" i="7"/>
  <c r="H84" i="7" s="1"/>
  <c r="G84" i="7"/>
  <c r="F85" i="7"/>
  <c r="H85" i="7" s="1"/>
  <c r="G85" i="7"/>
  <c r="F86" i="7"/>
  <c r="G86" i="7"/>
  <c r="F87" i="7"/>
  <c r="G87" i="7"/>
  <c r="H87" i="7"/>
  <c r="I87" i="7" s="1"/>
  <c r="F88" i="7"/>
  <c r="G88" i="7"/>
  <c r="H88" i="7"/>
  <c r="I88" i="7" s="1"/>
  <c r="F89" i="7"/>
  <c r="G89" i="7"/>
  <c r="I89" i="7" s="1"/>
  <c r="H89" i="7"/>
  <c r="F90" i="7"/>
  <c r="G90" i="7"/>
  <c r="H90" i="7"/>
  <c r="F91" i="7"/>
  <c r="G91" i="7"/>
  <c r="I91" i="7" s="1"/>
  <c r="H91" i="7"/>
  <c r="F92" i="7"/>
  <c r="G92" i="7"/>
  <c r="H92" i="7"/>
  <c r="F93" i="7"/>
  <c r="G93" i="7"/>
  <c r="I93" i="7" s="1"/>
  <c r="H93" i="7"/>
  <c r="F94" i="7"/>
  <c r="G94" i="7"/>
  <c r="H94" i="7"/>
  <c r="F95" i="7"/>
  <c r="G95" i="7"/>
  <c r="I95" i="7" s="1"/>
  <c r="H95" i="7"/>
  <c r="F96" i="7"/>
  <c r="G96" i="7"/>
  <c r="H96" i="7"/>
  <c r="F97" i="7"/>
  <c r="G97" i="7"/>
  <c r="I97" i="7" s="1"/>
  <c r="H97" i="7"/>
  <c r="F98" i="7"/>
  <c r="G98" i="7"/>
  <c r="H98" i="7"/>
  <c r="F99" i="7"/>
  <c r="G99" i="7"/>
  <c r="I99" i="7" s="1"/>
  <c r="H99" i="7"/>
  <c r="F100" i="7"/>
  <c r="G100" i="7"/>
  <c r="H100" i="7"/>
  <c r="F101" i="7"/>
  <c r="G101" i="7"/>
  <c r="H101" i="7" s="1"/>
  <c r="F102" i="7"/>
  <c r="H102" i="7" s="1"/>
  <c r="G102" i="7"/>
  <c r="F103" i="7"/>
  <c r="H103" i="7" s="1"/>
  <c r="G103" i="7"/>
  <c r="F104" i="7"/>
  <c r="G104" i="7"/>
  <c r="H104" i="7"/>
  <c r="F105" i="7"/>
  <c r="G105" i="7"/>
  <c r="H105" i="7" s="1"/>
  <c r="F106" i="7"/>
  <c r="H106" i="7" s="1"/>
  <c r="G106" i="7"/>
  <c r="F107" i="7"/>
  <c r="H107" i="7" s="1"/>
  <c r="G107" i="7"/>
  <c r="F108" i="7"/>
  <c r="G108" i="7"/>
  <c r="H108" i="7"/>
  <c r="F109" i="7"/>
  <c r="G109" i="7"/>
  <c r="H109" i="7" s="1"/>
  <c r="F110" i="7"/>
  <c r="H110" i="7" s="1"/>
  <c r="G110" i="7"/>
  <c r="F111" i="7"/>
  <c r="H111" i="7" s="1"/>
  <c r="G111" i="7"/>
  <c r="F112" i="7"/>
  <c r="G112" i="7"/>
  <c r="H112" i="7"/>
  <c r="F113" i="7"/>
  <c r="G113" i="7"/>
  <c r="H113" i="7" s="1"/>
  <c r="F114" i="7"/>
  <c r="H114" i="7" s="1"/>
  <c r="G114" i="7"/>
  <c r="F115" i="7"/>
  <c r="H115" i="7" s="1"/>
  <c r="G115" i="7"/>
  <c r="F116" i="7"/>
  <c r="G116" i="7"/>
  <c r="H116" i="7"/>
  <c r="F117" i="7"/>
  <c r="G117" i="7"/>
  <c r="H117" i="7" s="1"/>
  <c r="F118" i="7"/>
  <c r="H118" i="7" s="1"/>
  <c r="G118" i="7"/>
  <c r="F119" i="7"/>
  <c r="H119" i="7" s="1"/>
  <c r="G119" i="7"/>
  <c r="F120" i="7"/>
  <c r="G120" i="7"/>
  <c r="H120" i="7"/>
  <c r="F121" i="7"/>
  <c r="G121" i="7"/>
  <c r="H121" i="7" s="1"/>
  <c r="F122" i="7"/>
  <c r="H122" i="7" s="1"/>
  <c r="G122" i="7"/>
  <c r="F123" i="7"/>
  <c r="H123" i="7" s="1"/>
  <c r="G123" i="7"/>
  <c r="F124" i="7"/>
  <c r="G124" i="7"/>
  <c r="H124" i="7"/>
  <c r="F125" i="7"/>
  <c r="G125" i="7"/>
  <c r="H125" i="7" s="1"/>
  <c r="F126" i="7"/>
  <c r="H126" i="7" s="1"/>
  <c r="G126" i="7"/>
  <c r="F127" i="7"/>
  <c r="H127" i="7" s="1"/>
  <c r="G127" i="7"/>
  <c r="F128" i="7"/>
  <c r="G128" i="7"/>
  <c r="H128" i="7"/>
  <c r="F129" i="7"/>
  <c r="G129" i="7"/>
  <c r="H129" i="7" s="1"/>
  <c r="I129" i="7" s="1"/>
  <c r="F130" i="7"/>
  <c r="G130" i="7"/>
  <c r="H130" i="7" s="1"/>
  <c r="I130" i="7" s="1"/>
  <c r="F131" i="7"/>
  <c r="G131" i="7"/>
  <c r="H131" i="7" s="1"/>
  <c r="I131" i="7" s="1"/>
  <c r="F132" i="7"/>
  <c r="H132" i="7" s="1"/>
  <c r="I132" i="7" s="1"/>
  <c r="G132" i="7"/>
  <c r="F133" i="7"/>
  <c r="H133" i="7" s="1"/>
  <c r="I133" i="7" s="1"/>
  <c r="G133" i="7"/>
  <c r="F134" i="7"/>
  <c r="H134" i="7" s="1"/>
  <c r="I134" i="7" s="1"/>
  <c r="G134" i="7"/>
  <c r="F135" i="7"/>
  <c r="H135" i="7" s="1"/>
  <c r="I135" i="7" s="1"/>
  <c r="G135" i="7"/>
  <c r="F136" i="7"/>
  <c r="H136" i="7" s="1"/>
  <c r="I136" i="7" s="1"/>
  <c r="G136" i="7"/>
  <c r="F137" i="7"/>
  <c r="H137" i="7" s="1"/>
  <c r="I137" i="7" s="1"/>
  <c r="G137" i="7"/>
  <c r="F138" i="7"/>
  <c r="H138" i="7" s="1"/>
  <c r="I138" i="7" s="1"/>
  <c r="G138" i="7"/>
  <c r="F139" i="7"/>
  <c r="H139" i="7" s="1"/>
  <c r="I139" i="7" s="1"/>
  <c r="G139" i="7"/>
  <c r="F140" i="7"/>
  <c r="H140" i="7" s="1"/>
  <c r="I140" i="7" s="1"/>
  <c r="G140" i="7"/>
  <c r="F141" i="7"/>
  <c r="H141" i="7" s="1"/>
  <c r="I141" i="7" s="1"/>
  <c r="G141" i="7"/>
  <c r="F142" i="7"/>
  <c r="H142" i="7" s="1"/>
  <c r="I142" i="7" s="1"/>
  <c r="G142" i="7"/>
  <c r="F143" i="7"/>
  <c r="H143" i="7" s="1"/>
  <c r="I143" i="7" s="1"/>
  <c r="G143" i="7"/>
  <c r="F144" i="7"/>
  <c r="H144" i="7" s="1"/>
  <c r="I144" i="7" s="1"/>
  <c r="G144" i="7"/>
  <c r="F145" i="7"/>
  <c r="H145" i="7" s="1"/>
  <c r="I145" i="7" s="1"/>
  <c r="G145" i="7"/>
  <c r="F146" i="7"/>
  <c r="H146" i="7" s="1"/>
  <c r="I146" i="7" s="1"/>
  <c r="G146" i="7"/>
  <c r="F147" i="7"/>
  <c r="H147" i="7" s="1"/>
  <c r="I147" i="7" s="1"/>
  <c r="G147" i="7"/>
  <c r="F148" i="7"/>
  <c r="H148" i="7" s="1"/>
  <c r="I148" i="7" s="1"/>
  <c r="G148" i="7"/>
  <c r="F149" i="7"/>
  <c r="H149" i="7" s="1"/>
  <c r="I149" i="7" s="1"/>
  <c r="G149" i="7"/>
  <c r="F150" i="7"/>
  <c r="H150" i="7" s="1"/>
  <c r="I150" i="7" s="1"/>
  <c r="G150" i="7"/>
  <c r="F151" i="7"/>
  <c r="H151" i="7" s="1"/>
  <c r="I151" i="7" s="1"/>
  <c r="G151" i="7"/>
  <c r="F152" i="7"/>
  <c r="H152" i="7" s="1"/>
  <c r="I152" i="7" s="1"/>
  <c r="G152" i="7"/>
  <c r="F153" i="7"/>
  <c r="H153" i="7" s="1"/>
  <c r="I153" i="7" s="1"/>
  <c r="G153" i="7"/>
  <c r="F154" i="7"/>
  <c r="H154" i="7" s="1"/>
  <c r="I154" i="7" s="1"/>
  <c r="G154" i="7"/>
  <c r="F155" i="7"/>
  <c r="H155" i="7" s="1"/>
  <c r="I155" i="7" s="1"/>
  <c r="G155" i="7"/>
  <c r="F156" i="7"/>
  <c r="H156" i="7" s="1"/>
  <c r="I156" i="7" s="1"/>
  <c r="G156" i="7"/>
  <c r="F157" i="7"/>
  <c r="H157" i="7" s="1"/>
  <c r="I157" i="7" s="1"/>
  <c r="G157" i="7"/>
  <c r="F158" i="7"/>
  <c r="H158" i="7" s="1"/>
  <c r="I158" i="7" s="1"/>
  <c r="G158" i="7"/>
  <c r="F159" i="7"/>
  <c r="H159" i="7" s="1"/>
  <c r="I159" i="7" s="1"/>
  <c r="G159" i="7"/>
  <c r="F160" i="7"/>
  <c r="H160" i="7" s="1"/>
  <c r="I160" i="7" s="1"/>
  <c r="G160" i="7"/>
  <c r="F161" i="7"/>
  <c r="H161" i="7" s="1"/>
  <c r="I161" i="7" s="1"/>
  <c r="G161" i="7"/>
  <c r="F162" i="7"/>
  <c r="H162" i="7" s="1"/>
  <c r="I162" i="7" s="1"/>
  <c r="G162" i="7"/>
  <c r="F163" i="7"/>
  <c r="H163" i="7" s="1"/>
  <c r="I163" i="7" s="1"/>
  <c r="G163" i="7"/>
  <c r="F164" i="7"/>
  <c r="H164" i="7" s="1"/>
  <c r="I164" i="7" s="1"/>
  <c r="G164" i="7"/>
  <c r="F165" i="7"/>
  <c r="H165" i="7" s="1"/>
  <c r="I165" i="7" s="1"/>
  <c r="G165" i="7"/>
  <c r="F166" i="7"/>
  <c r="H166" i="7" s="1"/>
  <c r="I166" i="7" s="1"/>
  <c r="G166" i="7"/>
  <c r="F167" i="7"/>
  <c r="H167" i="7" s="1"/>
  <c r="I167" i="7" s="1"/>
  <c r="G167" i="7"/>
  <c r="F168" i="7"/>
  <c r="H168" i="7" s="1"/>
  <c r="I168" i="7" s="1"/>
  <c r="G168" i="7"/>
  <c r="F169" i="7"/>
  <c r="H169" i="7" s="1"/>
  <c r="G169" i="7"/>
  <c r="I169" i="7"/>
  <c r="F170" i="7"/>
  <c r="H170" i="7" s="1"/>
  <c r="G170" i="7"/>
  <c r="I170" i="7"/>
  <c r="F171" i="7"/>
  <c r="H171" i="7" s="1"/>
  <c r="I171" i="7" s="1"/>
  <c r="G171" i="7"/>
  <c r="F172" i="7"/>
  <c r="H172" i="7" s="1"/>
  <c r="I172" i="7" s="1"/>
  <c r="G172" i="7"/>
  <c r="F173" i="7"/>
  <c r="H173" i="7" s="1"/>
  <c r="G173" i="7"/>
  <c r="I173" i="7"/>
  <c r="F174" i="7"/>
  <c r="H174" i="7" s="1"/>
  <c r="G174" i="7"/>
  <c r="I174" i="7"/>
  <c r="F175" i="7"/>
  <c r="H175" i="7" s="1"/>
  <c r="I175" i="7" s="1"/>
  <c r="G175" i="7"/>
  <c r="F176" i="7"/>
  <c r="H176" i="7" s="1"/>
  <c r="I176" i="7" s="1"/>
  <c r="G176" i="7"/>
  <c r="F177" i="7"/>
  <c r="H177" i="7" s="1"/>
  <c r="G177" i="7"/>
  <c r="I177" i="7"/>
  <c r="F178" i="7"/>
  <c r="H178" i="7" s="1"/>
  <c r="G178" i="7"/>
  <c r="I178" i="7"/>
  <c r="F179" i="7"/>
  <c r="H179" i="7" s="1"/>
  <c r="I179" i="7" s="1"/>
  <c r="G179" i="7"/>
  <c r="F180" i="7"/>
  <c r="H180" i="7" s="1"/>
  <c r="I180" i="7" s="1"/>
  <c r="G180" i="7"/>
  <c r="F181" i="7"/>
  <c r="H181" i="7" s="1"/>
  <c r="G181" i="7"/>
  <c r="I181" i="7"/>
  <c r="F182" i="7"/>
  <c r="H182" i="7" s="1"/>
  <c r="G182" i="7"/>
  <c r="I182" i="7"/>
  <c r="F183" i="7"/>
  <c r="H183" i="7" s="1"/>
  <c r="I183" i="7" s="1"/>
  <c r="G183" i="7"/>
  <c r="F184" i="7"/>
  <c r="H184" i="7" s="1"/>
  <c r="I184" i="7" s="1"/>
  <c r="G184" i="7"/>
  <c r="F185" i="7"/>
  <c r="H185" i="7" s="1"/>
  <c r="G185" i="7"/>
  <c r="I185" i="7"/>
  <c r="F186" i="7"/>
  <c r="H186" i="7" s="1"/>
  <c r="G186" i="7"/>
  <c r="I186" i="7"/>
  <c r="F187" i="7"/>
  <c r="H187" i="7" s="1"/>
  <c r="I187" i="7" s="1"/>
  <c r="G187" i="7"/>
  <c r="F188" i="7"/>
  <c r="H188" i="7" s="1"/>
  <c r="I188" i="7" s="1"/>
  <c r="G188" i="7"/>
  <c r="F189" i="7"/>
  <c r="H189" i="7" s="1"/>
  <c r="G189" i="7"/>
  <c r="I189" i="7"/>
  <c r="F190" i="7"/>
  <c r="H190" i="7" s="1"/>
  <c r="G190" i="7"/>
  <c r="I190" i="7"/>
  <c r="F191" i="7"/>
  <c r="H191" i="7" s="1"/>
  <c r="I191" i="7" s="1"/>
  <c r="G191" i="7"/>
  <c r="F192" i="7"/>
  <c r="H192" i="7" s="1"/>
  <c r="I192" i="7" s="1"/>
  <c r="G192" i="7"/>
  <c r="F193" i="7"/>
  <c r="H193" i="7" s="1"/>
  <c r="G193" i="7"/>
  <c r="I193" i="7"/>
  <c r="F194" i="7"/>
  <c r="H194" i="7" s="1"/>
  <c r="G194" i="7"/>
  <c r="I194" i="7"/>
  <c r="F195" i="7"/>
  <c r="H195" i="7" s="1"/>
  <c r="I195" i="7" s="1"/>
  <c r="G195" i="7"/>
  <c r="F196" i="7"/>
  <c r="H196" i="7" s="1"/>
  <c r="I196" i="7" s="1"/>
  <c r="G196" i="7"/>
  <c r="F197" i="7"/>
  <c r="H197" i="7" s="1"/>
  <c r="G197" i="7"/>
  <c r="I197" i="7"/>
  <c r="F198" i="7"/>
  <c r="H198" i="7" s="1"/>
  <c r="G198" i="7"/>
  <c r="I198" i="7"/>
  <c r="F199" i="7"/>
  <c r="H199" i="7" s="1"/>
  <c r="I199" i="7" s="1"/>
  <c r="G199" i="7"/>
  <c r="F200" i="7"/>
  <c r="H200" i="7" s="1"/>
  <c r="I200" i="7" s="1"/>
  <c r="G200" i="7"/>
  <c r="F201" i="7"/>
  <c r="H201" i="7" s="1"/>
  <c r="G201" i="7"/>
  <c r="I201" i="7"/>
  <c r="F202" i="7"/>
  <c r="H202" i="7" s="1"/>
  <c r="G202" i="7"/>
  <c r="I202" i="7"/>
  <c r="F203" i="7"/>
  <c r="H203" i="7" s="1"/>
  <c r="I203" i="7" s="1"/>
  <c r="G203" i="7"/>
  <c r="F204" i="7"/>
  <c r="H204" i="7" s="1"/>
  <c r="I204" i="7" s="1"/>
  <c r="G204" i="7"/>
  <c r="F205" i="7"/>
  <c r="H205" i="7" s="1"/>
  <c r="G205" i="7"/>
  <c r="I205" i="7"/>
  <c r="F206" i="7"/>
  <c r="H206" i="7" s="1"/>
  <c r="G206" i="7"/>
  <c r="I206" i="7"/>
  <c r="F207" i="7"/>
  <c r="H207" i="7" s="1"/>
  <c r="I207" i="7" s="1"/>
  <c r="G207" i="7"/>
  <c r="F208" i="7"/>
  <c r="H208" i="7" s="1"/>
  <c r="I208" i="7" s="1"/>
  <c r="G208" i="7"/>
  <c r="F209" i="7"/>
  <c r="H209" i="7" s="1"/>
  <c r="G209" i="7"/>
  <c r="I209" i="7"/>
  <c r="F210" i="7"/>
  <c r="H210" i="7" s="1"/>
  <c r="G210" i="7"/>
  <c r="I210" i="7"/>
  <c r="F211" i="7"/>
  <c r="H211" i="7" s="1"/>
  <c r="I211" i="7" s="1"/>
  <c r="G211" i="7"/>
  <c r="F212" i="7"/>
  <c r="H212" i="7" s="1"/>
  <c r="I212" i="7" s="1"/>
  <c r="G212" i="7"/>
  <c r="F213" i="7"/>
  <c r="H213" i="7" s="1"/>
  <c r="G213" i="7"/>
  <c r="I213" i="7"/>
  <c r="F214" i="7"/>
  <c r="H214" i="7" s="1"/>
  <c r="G214" i="7"/>
  <c r="I214" i="7"/>
  <c r="F215" i="7"/>
  <c r="H215" i="7" s="1"/>
  <c r="I215" i="7" s="1"/>
  <c r="G215" i="7"/>
  <c r="F216" i="7"/>
  <c r="H216" i="7" s="1"/>
  <c r="I216" i="7" s="1"/>
  <c r="G216" i="7"/>
  <c r="F217" i="7"/>
  <c r="H217" i="7" s="1"/>
  <c r="G217" i="7"/>
  <c r="I217" i="7"/>
  <c r="F218" i="7"/>
  <c r="H218" i="7" s="1"/>
  <c r="G218" i="7"/>
  <c r="I218" i="7"/>
  <c r="F219" i="7"/>
  <c r="H219" i="7" s="1"/>
  <c r="I219" i="7" s="1"/>
  <c r="G219" i="7"/>
  <c r="F220" i="7"/>
  <c r="H220" i="7" s="1"/>
  <c r="I220" i="7" s="1"/>
  <c r="G220" i="7"/>
  <c r="F221" i="7"/>
  <c r="H221" i="7" s="1"/>
  <c r="G221" i="7"/>
  <c r="I221" i="7"/>
  <c r="F222" i="7"/>
  <c r="H222" i="7" s="1"/>
  <c r="G222" i="7"/>
  <c r="I222" i="7"/>
  <c r="F223" i="7"/>
  <c r="H223" i="7" s="1"/>
  <c r="I223" i="7" s="1"/>
  <c r="G223" i="7"/>
  <c r="F224" i="7"/>
  <c r="H224" i="7" s="1"/>
  <c r="I224" i="7" s="1"/>
  <c r="G224" i="7"/>
  <c r="F225" i="7"/>
  <c r="H225" i="7" s="1"/>
  <c r="G225" i="7"/>
  <c r="I225" i="7"/>
  <c r="F226" i="7"/>
  <c r="H226" i="7" s="1"/>
  <c r="G226" i="7"/>
  <c r="I226" i="7"/>
  <c r="F227" i="7"/>
  <c r="H227" i="7" s="1"/>
  <c r="I227" i="7" s="1"/>
  <c r="G227" i="7"/>
  <c r="F228" i="7"/>
  <c r="H228" i="7" s="1"/>
  <c r="I228" i="7" s="1"/>
  <c r="G228" i="7"/>
  <c r="F229" i="7"/>
  <c r="H229" i="7" s="1"/>
  <c r="G229" i="7"/>
  <c r="I229" i="7"/>
  <c r="F230" i="7"/>
  <c r="H230" i="7" s="1"/>
  <c r="G230" i="7"/>
  <c r="I230" i="7"/>
  <c r="F231" i="7"/>
  <c r="H231" i="7" s="1"/>
  <c r="I231" i="7" s="1"/>
  <c r="G231" i="7"/>
  <c r="F232" i="7"/>
  <c r="H232" i="7" s="1"/>
  <c r="I232" i="7" s="1"/>
  <c r="G232" i="7"/>
  <c r="F233" i="7"/>
  <c r="H233" i="7" s="1"/>
  <c r="G233" i="7"/>
  <c r="I233" i="7"/>
  <c r="I234" i="7"/>
  <c r="H234" i="7"/>
  <c r="G234" i="7"/>
  <c r="F234" i="7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21" i="8" l="1"/>
  <c r="D222" i="8"/>
  <c r="E222" i="8" s="1"/>
  <c r="I127" i="7"/>
  <c r="I123" i="7"/>
  <c r="I119" i="7"/>
  <c r="I115" i="7"/>
  <c r="I111" i="7"/>
  <c r="I107" i="7"/>
  <c r="I103" i="7"/>
  <c r="I78" i="7"/>
  <c r="H78" i="7"/>
  <c r="I62" i="7"/>
  <c r="H62" i="7"/>
  <c r="I46" i="7"/>
  <c r="H46" i="7"/>
  <c r="I30" i="7"/>
  <c r="H30" i="7"/>
  <c r="I14" i="7"/>
  <c r="H14" i="7"/>
  <c r="I128" i="7"/>
  <c r="I124" i="7"/>
  <c r="I120" i="7"/>
  <c r="I116" i="7"/>
  <c r="I112" i="7"/>
  <c r="I108" i="7"/>
  <c r="I104" i="7"/>
  <c r="I100" i="7"/>
  <c r="I96" i="7"/>
  <c r="I92" i="7"/>
  <c r="I74" i="7"/>
  <c r="H74" i="7"/>
  <c r="I58" i="7"/>
  <c r="H58" i="7"/>
  <c r="I42" i="7"/>
  <c r="H42" i="7"/>
  <c r="I26" i="7"/>
  <c r="H26" i="7"/>
  <c r="I10" i="7"/>
  <c r="H10" i="7"/>
  <c r="I125" i="7"/>
  <c r="I121" i="7"/>
  <c r="I117" i="7"/>
  <c r="I113" i="7"/>
  <c r="I109" i="7"/>
  <c r="I105" i="7"/>
  <c r="I101" i="7"/>
  <c r="H86" i="7"/>
  <c r="I86" i="7" s="1"/>
  <c r="H70" i="7"/>
  <c r="I70" i="7" s="1"/>
  <c r="H54" i="7"/>
  <c r="I54" i="7" s="1"/>
  <c r="H38" i="7"/>
  <c r="I38" i="7" s="1"/>
  <c r="H22" i="7"/>
  <c r="I22" i="7" s="1"/>
  <c r="I126" i="7"/>
  <c r="I122" i="7"/>
  <c r="I118" i="7"/>
  <c r="I114" i="7"/>
  <c r="I110" i="7"/>
  <c r="I106" i="7"/>
  <c r="I102" i="7"/>
  <c r="I98" i="7"/>
  <c r="I94" i="7"/>
  <c r="I90" i="7"/>
  <c r="H82" i="7"/>
  <c r="I82" i="7" s="1"/>
  <c r="H66" i="7"/>
  <c r="I66" i="7" s="1"/>
  <c r="H50" i="7"/>
  <c r="I50" i="7" s="1"/>
  <c r="H34" i="7"/>
  <c r="I34" i="7" s="1"/>
  <c r="H18" i="7"/>
  <c r="I18" i="7" s="1"/>
  <c r="H6" i="7"/>
  <c r="I6" i="7" s="1"/>
  <c r="I84" i="7"/>
  <c r="I80" i="7"/>
  <c r="I76" i="7"/>
  <c r="I72" i="7"/>
  <c r="I68" i="7"/>
  <c r="I64" i="7"/>
  <c r="I60" i="7"/>
  <c r="I56" i="7"/>
  <c r="I52" i="7"/>
  <c r="I48" i="7"/>
  <c r="I44" i="7"/>
  <c r="I40" i="7"/>
  <c r="I36" i="7"/>
  <c r="I32" i="7"/>
  <c r="I28" i="7"/>
  <c r="I24" i="7"/>
  <c r="I20" i="7"/>
  <c r="I4" i="7"/>
  <c r="I85" i="7"/>
  <c r="I81" i="7"/>
  <c r="I77" i="7"/>
  <c r="I73" i="7"/>
  <c r="I69" i="7"/>
  <c r="I65" i="7"/>
  <c r="I61" i="7"/>
  <c r="I57" i="7"/>
  <c r="I53" i="7"/>
  <c r="I49" i="7"/>
  <c r="I45" i="7"/>
  <c r="I41" i="7"/>
  <c r="I37" i="7"/>
  <c r="I33" i="7"/>
  <c r="I29" i="7"/>
  <c r="I25" i="7"/>
  <c r="I21" i="7"/>
  <c r="I17" i="7"/>
  <c r="I13" i="7"/>
  <c r="I9" i="7"/>
  <c r="I5" i="7"/>
  <c r="I2" i="7"/>
  <c r="I83" i="7"/>
  <c r="I79" i="7"/>
  <c r="I75" i="7"/>
  <c r="I71" i="7"/>
  <c r="I67" i="7"/>
  <c r="I63" i="7"/>
  <c r="I59" i="7"/>
  <c r="I55" i="7"/>
  <c r="I51" i="7"/>
  <c r="I47" i="7"/>
  <c r="I43" i="7"/>
  <c r="I39" i="7"/>
  <c r="I35" i="7"/>
  <c r="I31" i="7"/>
  <c r="I27" i="7"/>
  <c r="I23" i="7"/>
  <c r="M8" i="7" s="1"/>
  <c r="I19" i="7"/>
  <c r="H16" i="7"/>
  <c r="I16" i="7" s="1"/>
  <c r="I15" i="7"/>
  <c r="H12" i="7"/>
  <c r="I12" i="7" s="1"/>
  <c r="I11" i="7"/>
  <c r="I7" i="7"/>
  <c r="I3" i="7"/>
  <c r="C237" i="6"/>
  <c r="C236" i="6" s="1"/>
  <c r="C235" i="6" s="1"/>
  <c r="C234" i="6" s="1"/>
  <c r="C233" i="6" s="1"/>
  <c r="C232" i="6" s="1"/>
  <c r="C231" i="6" s="1"/>
  <c r="C230" i="6" s="1"/>
  <c r="C229" i="6" s="1"/>
  <c r="C228" i="6" s="1"/>
  <c r="C227" i="6" s="1"/>
  <c r="C226" i="6" s="1"/>
  <c r="C225" i="6" s="1"/>
  <c r="C224" i="6" s="1"/>
  <c r="C223" i="6" s="1"/>
  <c r="C222" i="6" s="1"/>
  <c r="C221" i="6" s="1"/>
  <c r="C220" i="6" s="1"/>
  <c r="C219" i="6" s="1"/>
  <c r="C218" i="6" s="1"/>
  <c r="C217" i="6" s="1"/>
  <c r="C216" i="6" s="1"/>
  <c r="C215" i="6" s="1"/>
  <c r="C214" i="6" s="1"/>
  <c r="C213" i="6" s="1"/>
  <c r="C212" i="6" s="1"/>
  <c r="C211" i="6" s="1"/>
  <c r="C210" i="6" s="1"/>
  <c r="C209" i="6" s="1"/>
  <c r="C208" i="6" s="1"/>
  <c r="C207" i="6" s="1"/>
  <c r="C206" i="6" s="1"/>
  <c r="C205" i="6" s="1"/>
  <c r="C204" i="6" s="1"/>
  <c r="C203" i="6" s="1"/>
  <c r="C202" i="6" s="1"/>
  <c r="C201" i="6" s="1"/>
  <c r="C200" i="6" s="1"/>
  <c r="C199" i="6" s="1"/>
  <c r="C198" i="6" s="1"/>
  <c r="C197" i="6" s="1"/>
  <c r="C196" i="6" s="1"/>
  <c r="C195" i="6" s="1"/>
  <c r="C194" i="6" s="1"/>
  <c r="C193" i="6" s="1"/>
  <c r="C192" i="6" s="1"/>
  <c r="C191" i="6" s="1"/>
  <c r="C190" i="6" s="1"/>
  <c r="C189" i="6" s="1"/>
  <c r="C188" i="6" s="1"/>
  <c r="C187" i="6" s="1"/>
  <c r="C186" i="6" s="1"/>
  <c r="C185" i="6" s="1"/>
  <c r="C184" i="6" s="1"/>
  <c r="C183" i="6" s="1"/>
  <c r="C182" i="6" s="1"/>
  <c r="C181" i="6" s="1"/>
  <c r="C180" i="6" s="1"/>
  <c r="C179" i="6" s="1"/>
  <c r="C178" i="6" s="1"/>
  <c r="C177" i="6" s="1"/>
  <c r="C176" i="6" s="1"/>
  <c r="C175" i="6" s="1"/>
  <c r="C174" i="6" s="1"/>
  <c r="C173" i="6" s="1"/>
  <c r="C172" i="6" s="1"/>
  <c r="C171" i="6" s="1"/>
  <c r="C170" i="6" s="1"/>
  <c r="C169" i="6" s="1"/>
  <c r="C168" i="6" s="1"/>
  <c r="C167" i="6" s="1"/>
  <c r="C166" i="6" s="1"/>
  <c r="C165" i="6" s="1"/>
  <c r="C164" i="6" s="1"/>
  <c r="C163" i="6" s="1"/>
  <c r="C162" i="6" s="1"/>
  <c r="C161" i="6" s="1"/>
  <c r="C160" i="6" s="1"/>
  <c r="C159" i="6" s="1"/>
  <c r="C158" i="6" s="1"/>
  <c r="C157" i="6" s="1"/>
  <c r="C156" i="6" s="1"/>
  <c r="C155" i="6" s="1"/>
  <c r="C154" i="6" s="1"/>
  <c r="C153" i="6" s="1"/>
  <c r="C152" i="6" s="1"/>
  <c r="C151" i="6" s="1"/>
  <c r="C150" i="6" s="1"/>
  <c r="C149" i="6" s="1"/>
  <c r="C148" i="6" s="1"/>
  <c r="C147" i="6" s="1"/>
  <c r="C146" i="6" s="1"/>
  <c r="C145" i="6" s="1"/>
  <c r="C144" i="6" s="1"/>
  <c r="C143" i="6" s="1"/>
  <c r="C142" i="6" s="1"/>
  <c r="C141" i="6" s="1"/>
  <c r="C140" i="6" s="1"/>
  <c r="C139" i="6" s="1"/>
  <c r="C138" i="6" s="1"/>
  <c r="C137" i="6" s="1"/>
  <c r="C136" i="6" s="1"/>
  <c r="C135" i="6" s="1"/>
  <c r="C134" i="6" s="1"/>
  <c r="C133" i="6" s="1"/>
  <c r="C132" i="6" s="1"/>
  <c r="C131" i="6" s="1"/>
  <c r="C130" i="6" s="1"/>
  <c r="C129" i="6" s="1"/>
  <c r="C128" i="6" s="1"/>
  <c r="C127" i="6" s="1"/>
  <c r="C126" i="6" s="1"/>
  <c r="C125" i="6" s="1"/>
  <c r="C124" i="6" s="1"/>
  <c r="C123" i="6" s="1"/>
  <c r="C122" i="6" s="1"/>
  <c r="C121" i="6" s="1"/>
  <c r="C120" i="6" s="1"/>
  <c r="C119" i="6" s="1"/>
  <c r="C118" i="6" s="1"/>
  <c r="C117" i="6" s="1"/>
  <c r="C116" i="6" s="1"/>
  <c r="C115" i="6" s="1"/>
  <c r="C114" i="6" s="1"/>
  <c r="C113" i="6" s="1"/>
  <c r="C112" i="6" s="1"/>
  <c r="C111" i="6" s="1"/>
  <c r="C110" i="6" s="1"/>
  <c r="C109" i="6" s="1"/>
  <c r="C108" i="6" s="1"/>
  <c r="C107" i="6" s="1"/>
  <c r="C106" i="6" s="1"/>
  <c r="C105" i="6" s="1"/>
  <c r="C104" i="6" s="1"/>
  <c r="C103" i="6" s="1"/>
  <c r="C102" i="6" s="1"/>
  <c r="C101" i="6" s="1"/>
  <c r="C100" i="6" s="1"/>
  <c r="C99" i="6" s="1"/>
  <c r="C98" i="6" s="1"/>
  <c r="C97" i="6" s="1"/>
  <c r="C96" i="6" s="1"/>
  <c r="C95" i="6" s="1"/>
  <c r="C94" i="6" s="1"/>
  <c r="C93" i="6" s="1"/>
  <c r="C92" i="6" s="1"/>
  <c r="C91" i="6" s="1"/>
  <c r="C90" i="6" s="1"/>
  <c r="C89" i="6" s="1"/>
  <c r="C88" i="6" s="1"/>
  <c r="C87" i="6" s="1"/>
  <c r="C86" i="6" s="1"/>
  <c r="C85" i="6" s="1"/>
  <c r="C84" i="6" s="1"/>
  <c r="C83" i="6" s="1"/>
  <c r="C82" i="6" s="1"/>
  <c r="C81" i="6" s="1"/>
  <c r="C80" i="6" s="1"/>
  <c r="C79" i="6" s="1"/>
  <c r="C78" i="6" s="1"/>
  <c r="C77" i="6" s="1"/>
  <c r="C76" i="6" s="1"/>
  <c r="C75" i="6" s="1"/>
  <c r="C74" i="6" s="1"/>
  <c r="C73" i="6" s="1"/>
  <c r="C72" i="6" s="1"/>
  <c r="C71" i="6" s="1"/>
  <c r="C70" i="6" s="1"/>
  <c r="C69" i="6" s="1"/>
  <c r="C68" i="6" s="1"/>
  <c r="C67" i="6" s="1"/>
  <c r="C66" i="6" s="1"/>
  <c r="C65" i="6" s="1"/>
  <c r="C64" i="6" s="1"/>
  <c r="C63" i="6" s="1"/>
  <c r="C62" i="6" s="1"/>
  <c r="C61" i="6" s="1"/>
  <c r="C60" i="6" s="1"/>
  <c r="C59" i="6" s="1"/>
  <c r="C58" i="6" s="1"/>
  <c r="C57" i="6" s="1"/>
  <c r="C56" i="6" s="1"/>
  <c r="C55" i="6" s="1"/>
  <c r="C54" i="6" s="1"/>
  <c r="C53" i="6" s="1"/>
  <c r="C52" i="6" s="1"/>
  <c r="C51" i="6" s="1"/>
  <c r="C50" i="6" s="1"/>
  <c r="C49" i="6" s="1"/>
  <c r="C48" i="6" s="1"/>
  <c r="C47" i="6" s="1"/>
  <c r="C46" i="6" s="1"/>
  <c r="C45" i="6" s="1"/>
  <c r="C44" i="6" s="1"/>
  <c r="C43" i="6" s="1"/>
  <c r="C42" i="6" s="1"/>
  <c r="C41" i="6" s="1"/>
  <c r="C40" i="6" s="1"/>
  <c r="C39" i="6" s="1"/>
  <c r="C38" i="6" s="1"/>
  <c r="C37" i="6" s="1"/>
  <c r="C36" i="6" s="1"/>
  <c r="C35" i="6" s="1"/>
  <c r="C34" i="6" s="1"/>
  <c r="C33" i="6" s="1"/>
  <c r="C32" i="6" s="1"/>
  <c r="C31" i="6" s="1"/>
  <c r="C30" i="6" s="1"/>
  <c r="C29" i="6" s="1"/>
  <c r="C28" i="6" s="1"/>
  <c r="C27" i="6" s="1"/>
  <c r="C26" i="6" s="1"/>
  <c r="C25" i="6" s="1"/>
  <c r="C24" i="6" s="1"/>
  <c r="C23" i="6" s="1"/>
  <c r="C22" i="6" s="1"/>
  <c r="C21" i="6" s="1"/>
  <c r="C20" i="6" s="1"/>
  <c r="C19" i="6" s="1"/>
  <c r="C18" i="6" s="1"/>
  <c r="C17" i="6" s="1"/>
  <c r="C16" i="6" s="1"/>
  <c r="C15" i="6" s="1"/>
  <c r="C14" i="6" s="1"/>
  <c r="C13" i="6" s="1"/>
  <c r="C12" i="6" s="1"/>
  <c r="C11" i="6" s="1"/>
  <c r="C10" i="6" s="1"/>
  <c r="C9" i="6" s="1"/>
  <c r="C8" i="6" s="1"/>
  <c r="C7" i="6" s="1"/>
  <c r="C6" i="6" s="1"/>
  <c r="C5" i="6" s="1"/>
  <c r="C4" i="6" s="1"/>
  <c r="C3" i="6" s="1"/>
  <c r="C2" i="6" s="1"/>
  <c r="J6" i="5"/>
  <c r="J5" i="5"/>
  <c r="J4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3" i="5"/>
  <c r="D4" i="5"/>
  <c r="D2" i="5"/>
  <c r="K25" i="4"/>
  <c r="C220" i="8" l="1"/>
  <c r="D221" i="8"/>
  <c r="K27" i="4"/>
  <c r="I16" i="4"/>
  <c r="I17" i="4"/>
  <c r="I18" i="4"/>
  <c r="I19" i="4"/>
  <c r="I20" i="4"/>
  <c r="I21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3" i="4"/>
  <c r="D4" i="4"/>
  <c r="D5" i="4"/>
  <c r="D6" i="4"/>
  <c r="D7" i="4"/>
  <c r="D8" i="4"/>
  <c r="D9" i="4"/>
  <c r="D10" i="4"/>
  <c r="D2" i="4"/>
  <c r="D220" i="8" l="1"/>
  <c r="E221" i="8"/>
  <c r="C219" i="8"/>
  <c r="E220" i="8"/>
  <c r="F17" i="2"/>
  <c r="F18" i="2"/>
  <c r="F19" i="2"/>
  <c r="F17" i="3"/>
  <c r="F18" i="3"/>
  <c r="F19" i="3"/>
  <c r="F20" i="3"/>
  <c r="F16" i="3"/>
  <c r="F16" i="2"/>
  <c r="C218" i="8" l="1"/>
  <c r="D219" i="8"/>
  <c r="D218" i="8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" i="1"/>
  <c r="E219" i="8" l="1"/>
  <c r="C217" i="8"/>
  <c r="E218" i="8"/>
  <c r="C216" i="8" l="1"/>
  <c r="D217" i="8"/>
  <c r="D216" i="8" s="1"/>
  <c r="E217" i="8" l="1"/>
  <c r="C215" i="8"/>
  <c r="E216" i="8"/>
  <c r="C214" i="8" l="1"/>
  <c r="D215" i="8"/>
  <c r="D214" i="8" s="1"/>
  <c r="E215" i="8" l="1"/>
  <c r="C213" i="8"/>
  <c r="E214" i="8"/>
  <c r="C212" i="8" l="1"/>
  <c r="G214" i="8"/>
  <c r="D213" i="8"/>
  <c r="D212" i="8" s="1"/>
  <c r="E213" i="8" l="1"/>
  <c r="C211" i="8"/>
  <c r="E212" i="8"/>
  <c r="G213" i="8"/>
  <c r="G215" i="8"/>
  <c r="C210" i="8" l="1"/>
  <c r="D211" i="8"/>
  <c r="E211" i="8" s="1"/>
  <c r="G211" i="8" l="1"/>
  <c r="C209" i="8"/>
  <c r="E210" i="8"/>
  <c r="D210" i="8"/>
  <c r="G212" i="8"/>
  <c r="C208" i="8" l="1"/>
  <c r="D209" i="8"/>
  <c r="D208" i="8" s="1"/>
  <c r="E209" i="8" l="1"/>
  <c r="G209" i="8" s="1"/>
  <c r="G210" i="8"/>
  <c r="C207" i="8"/>
  <c r="D207" i="8" s="1"/>
  <c r="E208" i="8"/>
  <c r="C206" i="8" l="1"/>
  <c r="E207" i="8"/>
  <c r="C205" i="8" l="1"/>
  <c r="G208" i="8"/>
  <c r="G207" i="8"/>
  <c r="D206" i="8"/>
  <c r="D205" i="8" l="1"/>
  <c r="E206" i="8"/>
  <c r="C204" i="8"/>
  <c r="E205" i="8"/>
  <c r="C203" i="8" l="1"/>
  <c r="D204" i="8"/>
  <c r="E204" i="8" s="1"/>
  <c r="G206" i="8" l="1"/>
  <c r="C202" i="8"/>
  <c r="D203" i="8"/>
  <c r="G205" i="8"/>
  <c r="D202" i="8" l="1"/>
  <c r="E203" i="8"/>
  <c r="C201" i="8"/>
  <c r="E202" i="8"/>
  <c r="G204" i="8"/>
  <c r="C200" i="8" l="1"/>
  <c r="D201" i="8"/>
  <c r="D200" i="8" s="1"/>
  <c r="G203" i="8" l="1"/>
  <c r="E201" i="8"/>
  <c r="C199" i="8"/>
  <c r="E200" i="8"/>
  <c r="G202" i="8"/>
  <c r="C198" i="8" l="1"/>
  <c r="D199" i="8"/>
  <c r="D198" i="8" s="1"/>
  <c r="G200" i="8"/>
  <c r="G201" i="8"/>
  <c r="E199" i="8" l="1"/>
  <c r="C197" i="8"/>
  <c r="E198" i="8"/>
  <c r="C196" i="8" l="1"/>
  <c r="G199" i="8"/>
  <c r="G198" i="8"/>
  <c r="D197" i="8"/>
  <c r="D196" i="8" s="1"/>
  <c r="E197" i="8" l="1"/>
  <c r="C195" i="8"/>
  <c r="E196" i="8"/>
  <c r="C194" i="8" l="1"/>
  <c r="D195" i="8"/>
  <c r="D194" i="8" s="1"/>
  <c r="G197" i="8" l="1"/>
  <c r="E195" i="8"/>
  <c r="C193" i="8"/>
  <c r="E194" i="8"/>
  <c r="G196" i="8"/>
  <c r="C192" i="8" l="1"/>
  <c r="G194" i="8"/>
  <c r="D193" i="8"/>
  <c r="D192" i="8" s="1"/>
  <c r="G195" i="8"/>
  <c r="E193" i="8" l="1"/>
  <c r="C191" i="8"/>
  <c r="E192" i="8"/>
  <c r="C190" i="8" l="1"/>
  <c r="D191" i="8"/>
  <c r="D190" i="8" s="1"/>
  <c r="G193" i="8" l="1"/>
  <c r="E191" i="8"/>
  <c r="C189" i="8"/>
  <c r="D189" i="8" s="1"/>
  <c r="E190" i="8"/>
  <c r="G192" i="8"/>
  <c r="G190" i="8" l="1"/>
  <c r="C188" i="8"/>
  <c r="E189" i="8"/>
  <c r="D188" i="8"/>
  <c r="G191" i="8"/>
  <c r="C187" i="8" l="1"/>
  <c r="E188" i="8"/>
  <c r="G189" i="8"/>
  <c r="C186" i="8" l="1"/>
  <c r="D187" i="8"/>
  <c r="E187" i="8" s="1"/>
  <c r="G187" i="8" l="1"/>
  <c r="C185" i="8"/>
  <c r="E186" i="8"/>
  <c r="D186" i="8"/>
  <c r="G188" i="8"/>
  <c r="C184" i="8" l="1"/>
  <c r="D185" i="8"/>
  <c r="D184" i="8" s="1"/>
  <c r="E185" i="8" l="1"/>
  <c r="C183" i="8"/>
  <c r="E184" i="8"/>
  <c r="G186" i="8"/>
  <c r="C182" i="8" l="1"/>
  <c r="G185" i="8"/>
  <c r="D183" i="8"/>
  <c r="D182" i="8" s="1"/>
  <c r="E183" i="8" l="1"/>
  <c r="C181" i="8"/>
  <c r="E182" i="8"/>
  <c r="G184" i="8"/>
  <c r="C180" i="8" l="1"/>
  <c r="G182" i="8"/>
  <c r="D181" i="8"/>
  <c r="G183" i="8"/>
  <c r="D180" i="8" l="1"/>
  <c r="E180" i="8" s="1"/>
  <c r="E181" i="8"/>
  <c r="C179" i="8"/>
  <c r="C178" i="8" l="1"/>
  <c r="G181" i="8"/>
  <c r="G180" i="8"/>
  <c r="D179" i="8"/>
  <c r="D178" i="8" s="1"/>
  <c r="E179" i="8" l="1"/>
  <c r="C177" i="8"/>
  <c r="E178" i="8"/>
  <c r="C176" i="8" l="1"/>
  <c r="D177" i="8"/>
  <c r="D176" i="8" s="1"/>
  <c r="G179" i="8" l="1"/>
  <c r="E177" i="8"/>
  <c r="C175" i="8"/>
  <c r="E176" i="8"/>
  <c r="G178" i="8"/>
  <c r="C174" i="8" l="1"/>
  <c r="D175" i="8"/>
  <c r="G176" i="8"/>
  <c r="G177" i="8"/>
  <c r="D174" i="8" l="1"/>
  <c r="E175" i="8"/>
  <c r="C173" i="8"/>
  <c r="E174" i="8"/>
  <c r="C172" i="8" l="1"/>
  <c r="G175" i="8"/>
  <c r="G174" i="8"/>
  <c r="D173" i="8"/>
  <c r="D172" i="8" l="1"/>
  <c r="E173" i="8"/>
  <c r="C171" i="8"/>
  <c r="E172" i="8"/>
  <c r="C170" i="8" l="1"/>
  <c r="G173" i="8"/>
  <c r="D171" i="8"/>
  <c r="D170" i="8" l="1"/>
  <c r="E170" i="8" s="1"/>
  <c r="E171" i="8"/>
  <c r="C169" i="8"/>
  <c r="D169" i="8"/>
  <c r="G172" i="8"/>
  <c r="C168" i="8" l="1"/>
  <c r="E169" i="8"/>
  <c r="G170" i="8"/>
  <c r="G171" i="8"/>
  <c r="C167" i="8" l="1"/>
  <c r="E168" i="8"/>
  <c r="D168" i="8"/>
  <c r="C166" i="8" l="1"/>
  <c r="G168" i="8"/>
  <c r="D167" i="8"/>
  <c r="D166" i="8" s="1"/>
  <c r="G169" i="8"/>
  <c r="E167" i="8" l="1"/>
  <c r="G167" i="8"/>
  <c r="C165" i="8"/>
  <c r="D165" i="8" s="1"/>
  <c r="E166" i="8"/>
  <c r="C164" i="8" l="1"/>
  <c r="E165" i="8"/>
  <c r="G166" i="8"/>
  <c r="C163" i="8" l="1"/>
  <c r="D164" i="8"/>
  <c r="D163" i="8" s="1"/>
  <c r="G164" i="8" l="1"/>
  <c r="E164" i="8"/>
  <c r="G165" i="8"/>
  <c r="C162" i="8"/>
  <c r="D162" i="8" s="1"/>
  <c r="E163" i="8"/>
  <c r="G163" i="8" l="1"/>
  <c r="C161" i="8"/>
  <c r="E162" i="8"/>
  <c r="C160" i="8" l="1"/>
  <c r="D161" i="8"/>
  <c r="G162" i="8"/>
  <c r="D160" i="8" l="1"/>
  <c r="E161" i="8"/>
  <c r="C159" i="8"/>
  <c r="E160" i="8"/>
  <c r="C158" i="8" l="1"/>
  <c r="D159" i="8"/>
  <c r="D158" i="8" s="1"/>
  <c r="G160" i="8"/>
  <c r="G161" i="8"/>
  <c r="E159" i="8" l="1"/>
  <c r="C157" i="8"/>
  <c r="E158" i="8"/>
  <c r="C156" i="8" l="1"/>
  <c r="E157" i="8"/>
  <c r="D157" i="8"/>
  <c r="D156" i="8" s="1"/>
  <c r="G159" i="8" l="1"/>
  <c r="C155" i="8"/>
  <c r="E156" i="8"/>
  <c r="G158" i="8"/>
  <c r="C154" i="8" l="1"/>
  <c r="D155" i="8"/>
  <c r="D154" i="8" s="1"/>
  <c r="G157" i="8"/>
  <c r="E155" i="8" l="1"/>
  <c r="C153" i="8"/>
  <c r="E154" i="8"/>
  <c r="G156" i="8"/>
  <c r="C152" i="8" l="1"/>
  <c r="D153" i="8"/>
  <c r="D152" i="8" s="1"/>
  <c r="G155" i="8" l="1"/>
  <c r="E153" i="8"/>
  <c r="C151" i="8"/>
  <c r="E152" i="8"/>
  <c r="G154" i="8"/>
  <c r="C150" i="8" l="1"/>
  <c r="D151" i="8"/>
  <c r="D150" i="8" s="1"/>
  <c r="G153" i="8"/>
  <c r="C149" i="8" l="1"/>
  <c r="E150" i="8"/>
  <c r="E151" i="8"/>
  <c r="G152" i="8"/>
  <c r="C148" i="8" l="1"/>
  <c r="G150" i="8"/>
  <c r="D149" i="8"/>
  <c r="E149" i="8" s="1"/>
  <c r="C147" i="8" l="1"/>
  <c r="D148" i="8"/>
  <c r="D147" i="8" s="1"/>
  <c r="G151" i="8"/>
  <c r="E148" i="8" l="1"/>
  <c r="C146" i="8"/>
  <c r="E147" i="8"/>
  <c r="G149" i="8"/>
  <c r="C145" i="8" l="1"/>
  <c r="D146" i="8"/>
  <c r="D145" i="8" s="1"/>
  <c r="G148" i="8" l="1"/>
  <c r="E146" i="8"/>
  <c r="C144" i="8"/>
  <c r="D144" i="8" s="1"/>
  <c r="E145" i="8"/>
  <c r="G147" i="8"/>
  <c r="C143" i="8" l="1"/>
  <c r="E144" i="8"/>
  <c r="G146" i="8"/>
  <c r="C142" i="8" l="1"/>
  <c r="G144" i="8"/>
  <c r="D143" i="8"/>
  <c r="G145" i="8"/>
  <c r="D142" i="8" l="1"/>
  <c r="E143" i="8"/>
  <c r="C141" i="8"/>
  <c r="E142" i="8"/>
  <c r="C140" i="8" l="1"/>
  <c r="D141" i="8"/>
  <c r="D140" i="8" s="1"/>
  <c r="G142" i="8"/>
  <c r="G143" i="8"/>
  <c r="E141" i="8" l="1"/>
  <c r="C139" i="8"/>
  <c r="E140" i="8"/>
  <c r="C138" i="8" l="1"/>
  <c r="G140" i="8"/>
  <c r="D139" i="8"/>
  <c r="D138" i="8" s="1"/>
  <c r="G141" i="8" l="1"/>
  <c r="E139" i="8"/>
  <c r="C137" i="8"/>
  <c r="E138" i="8"/>
  <c r="C136" i="8" l="1"/>
  <c r="E137" i="8"/>
  <c r="D137" i="8"/>
  <c r="G138" i="8"/>
  <c r="G139" i="8"/>
  <c r="D136" i="8" l="1"/>
  <c r="G137" i="8"/>
  <c r="C135" i="8"/>
  <c r="E136" i="8"/>
  <c r="C134" i="8" l="1"/>
  <c r="D135" i="8"/>
  <c r="D134" i="8" s="1"/>
  <c r="G136" i="8"/>
  <c r="E135" i="8" l="1"/>
  <c r="C133" i="8"/>
  <c r="E134" i="8"/>
  <c r="C132" i="8" l="1"/>
  <c r="D133" i="8"/>
  <c r="D132" i="8" s="1"/>
  <c r="G134" i="8"/>
  <c r="E133" i="8" l="1"/>
  <c r="G135" i="8"/>
  <c r="C131" i="8"/>
  <c r="E132" i="8"/>
  <c r="G132" i="8" l="1"/>
  <c r="C130" i="8"/>
  <c r="G133" i="8"/>
  <c r="D131" i="8"/>
  <c r="E131" i="8" s="1"/>
  <c r="C129" i="8" l="1"/>
  <c r="D130" i="8"/>
  <c r="D129" i="8" s="1"/>
  <c r="G131" i="8"/>
  <c r="E130" i="8" l="1"/>
  <c r="C128" i="8"/>
  <c r="E129" i="8"/>
  <c r="C127" i="8" l="1"/>
  <c r="G130" i="8"/>
  <c r="G129" i="8"/>
  <c r="D128" i="8"/>
  <c r="D127" i="8" l="1"/>
  <c r="E128" i="8"/>
  <c r="C126" i="8"/>
  <c r="E127" i="8"/>
  <c r="C125" i="8" l="1"/>
  <c r="D126" i="8"/>
  <c r="D125" i="8" s="1"/>
  <c r="G128" i="8" l="1"/>
  <c r="E126" i="8"/>
  <c r="G126" i="8" s="1"/>
  <c r="C124" i="8"/>
  <c r="E125" i="8"/>
  <c r="G127" i="8"/>
  <c r="C123" i="8" l="1"/>
  <c r="D124" i="8"/>
  <c r="D123" i="8" s="1"/>
  <c r="E124" i="8" l="1"/>
  <c r="C122" i="8"/>
  <c r="E123" i="8"/>
  <c r="G125" i="8"/>
  <c r="C121" i="8" l="1"/>
  <c r="D122" i="8"/>
  <c r="D121" i="8" s="1"/>
  <c r="G124" i="8"/>
  <c r="E122" i="8" l="1"/>
  <c r="C120" i="8"/>
  <c r="E121" i="8"/>
  <c r="G123" i="8"/>
  <c r="C119" i="8" l="1"/>
  <c r="G121" i="8"/>
  <c r="D120" i="8"/>
  <c r="D119" i="8" s="1"/>
  <c r="G122" i="8" l="1"/>
  <c r="E120" i="8"/>
  <c r="C118" i="8"/>
  <c r="E119" i="8"/>
  <c r="C117" i="8" l="1"/>
  <c r="D118" i="8"/>
  <c r="D117" i="8" s="1"/>
  <c r="E118" i="8" l="1"/>
  <c r="G118" i="8" s="1"/>
  <c r="C116" i="8"/>
  <c r="E117" i="8"/>
  <c r="G119" i="8"/>
  <c r="G120" i="8"/>
  <c r="C115" i="8" l="1"/>
  <c r="D116" i="8"/>
  <c r="D115" i="8" s="1"/>
  <c r="G117" i="8"/>
  <c r="E116" i="8" l="1"/>
  <c r="C114" i="8"/>
  <c r="E115" i="8"/>
  <c r="C113" i="8" l="1"/>
  <c r="G116" i="8"/>
  <c r="G115" i="8"/>
  <c r="D114" i="8"/>
  <c r="D113" i="8" s="1"/>
  <c r="E114" i="8" l="1"/>
  <c r="C112" i="8"/>
  <c r="E113" i="8"/>
  <c r="C111" i="8" l="1"/>
  <c r="G113" i="8"/>
  <c r="D112" i="8"/>
  <c r="D111" i="8" s="1"/>
  <c r="G114" i="8" l="1"/>
  <c r="E112" i="8"/>
  <c r="C110" i="8"/>
  <c r="E111" i="8"/>
  <c r="C109" i="8" l="1"/>
  <c r="G112" i="8"/>
  <c r="G111" i="8"/>
  <c r="D110" i="8"/>
  <c r="D109" i="8" s="1"/>
  <c r="E110" i="8" l="1"/>
  <c r="C108" i="8"/>
  <c r="E109" i="8"/>
  <c r="C107" i="8" l="1"/>
  <c r="G109" i="8"/>
  <c r="D108" i="8"/>
  <c r="D107" i="8" s="1"/>
  <c r="G110" i="8" l="1"/>
  <c r="E108" i="8"/>
  <c r="C106" i="8"/>
  <c r="E107" i="8"/>
  <c r="C105" i="8" l="1"/>
  <c r="G108" i="8"/>
  <c r="G107" i="8"/>
  <c r="D106" i="8"/>
  <c r="D105" i="8" s="1"/>
  <c r="E106" i="8" l="1"/>
  <c r="C104" i="8"/>
  <c r="E105" i="8"/>
  <c r="C103" i="8" l="1"/>
  <c r="D104" i="8"/>
  <c r="D103" i="8" s="1"/>
  <c r="G106" i="8" l="1"/>
  <c r="E104" i="8"/>
  <c r="C102" i="8"/>
  <c r="E103" i="8"/>
  <c r="G105" i="8"/>
  <c r="C101" i="8" l="1"/>
  <c r="D102" i="8"/>
  <c r="D101" i="8" s="1"/>
  <c r="G103" i="8"/>
  <c r="G104" i="8"/>
  <c r="E102" i="8" l="1"/>
  <c r="C100" i="8"/>
  <c r="E101" i="8"/>
  <c r="C99" i="8" l="1"/>
  <c r="D100" i="8"/>
  <c r="D99" i="8" s="1"/>
  <c r="E100" i="8" l="1"/>
  <c r="C98" i="8"/>
  <c r="E99" i="8"/>
  <c r="G101" i="8"/>
  <c r="G102" i="8"/>
  <c r="G100" i="8" l="1"/>
  <c r="C97" i="8"/>
  <c r="D98" i="8"/>
  <c r="G99" i="8"/>
  <c r="D97" i="8" l="1"/>
  <c r="E98" i="8"/>
  <c r="C96" i="8"/>
  <c r="E97" i="8"/>
  <c r="C95" i="8" l="1"/>
  <c r="D96" i="8"/>
  <c r="D95" i="8" s="1"/>
  <c r="G98" i="8" l="1"/>
  <c r="E96" i="8"/>
  <c r="C94" i="8"/>
  <c r="E95" i="8"/>
  <c r="G97" i="8"/>
  <c r="G96" i="8" l="1"/>
  <c r="G95" i="8"/>
  <c r="C93" i="8"/>
  <c r="D94" i="8"/>
  <c r="C92" i="8" l="1"/>
  <c r="D93" i="8"/>
  <c r="D92" i="8" s="1"/>
  <c r="E94" i="8"/>
  <c r="E93" i="8" l="1"/>
  <c r="C91" i="8"/>
  <c r="D91" i="8" s="1"/>
  <c r="E92" i="8"/>
  <c r="G92" i="8" l="1"/>
  <c r="C90" i="8"/>
  <c r="D90" i="8" s="1"/>
  <c r="E91" i="8"/>
  <c r="G94" i="8"/>
  <c r="C89" i="8" l="1"/>
  <c r="E90" i="8"/>
  <c r="G93" i="8"/>
  <c r="C88" i="8" l="1"/>
  <c r="D89" i="8"/>
  <c r="D88" i="8" s="1"/>
  <c r="G90" i="8"/>
  <c r="G91" i="8"/>
  <c r="E89" i="8" l="1"/>
  <c r="C87" i="8"/>
  <c r="E88" i="8"/>
  <c r="C86" i="8" l="1"/>
  <c r="D87" i="8"/>
  <c r="D86" i="8" s="1"/>
  <c r="G89" i="8" l="1"/>
  <c r="C85" i="8"/>
  <c r="E86" i="8"/>
  <c r="E87" i="8"/>
  <c r="G88" i="8"/>
  <c r="C84" i="8" l="1"/>
  <c r="G86" i="8"/>
  <c r="D85" i="8"/>
  <c r="D84" i="8" s="1"/>
  <c r="E85" i="8" l="1"/>
  <c r="C83" i="8"/>
  <c r="E84" i="8"/>
  <c r="D83" i="8"/>
  <c r="G87" i="8"/>
  <c r="C82" i="8" l="1"/>
  <c r="D82" i="8" s="1"/>
  <c r="E83" i="8"/>
  <c r="G85" i="8"/>
  <c r="C81" i="8" l="1"/>
  <c r="E82" i="8"/>
  <c r="G83" i="8"/>
  <c r="G84" i="8"/>
  <c r="C80" i="8" l="1"/>
  <c r="D81" i="8"/>
  <c r="E81" i="8" s="1"/>
  <c r="C79" i="8" l="1"/>
  <c r="E80" i="8"/>
  <c r="G81" i="8"/>
  <c r="D80" i="8"/>
  <c r="G82" i="8"/>
  <c r="C78" i="8" l="1"/>
  <c r="D79" i="8"/>
  <c r="D78" i="8" s="1"/>
  <c r="C77" i="8" l="1"/>
  <c r="E78" i="8"/>
  <c r="D77" i="8"/>
  <c r="E79" i="8"/>
  <c r="G80" i="8"/>
  <c r="C76" i="8" l="1"/>
  <c r="E77" i="8"/>
  <c r="G79" i="8" l="1"/>
  <c r="G77" i="8"/>
  <c r="G78" i="8"/>
  <c r="C75" i="8"/>
  <c r="D76" i="8"/>
  <c r="D75" i="8" l="1"/>
  <c r="E76" i="8"/>
  <c r="C74" i="8"/>
  <c r="E75" i="8"/>
  <c r="C73" i="8" l="1"/>
  <c r="D74" i="8"/>
  <c r="D73" i="8" s="1"/>
  <c r="G76" i="8" l="1"/>
  <c r="E74" i="8"/>
  <c r="G74" i="8" s="1"/>
  <c r="C72" i="8"/>
  <c r="E73" i="8"/>
  <c r="G75" i="8"/>
  <c r="C71" i="8" l="1"/>
  <c r="D72" i="8"/>
  <c r="D71" i="8" s="1"/>
  <c r="E72" i="8" l="1"/>
  <c r="C70" i="8"/>
  <c r="E71" i="8"/>
  <c r="G73" i="8"/>
  <c r="C69" i="8" l="1"/>
  <c r="D70" i="8"/>
  <c r="D69" i="8" s="1"/>
  <c r="G72" i="8" l="1"/>
  <c r="E70" i="8"/>
  <c r="G70" i="8" s="1"/>
  <c r="C68" i="8"/>
  <c r="E69" i="8"/>
  <c r="G71" i="8"/>
  <c r="C67" i="8" l="1"/>
  <c r="D68" i="8"/>
  <c r="E68" i="8" s="1"/>
  <c r="G68" i="8" l="1"/>
  <c r="C66" i="8"/>
  <c r="E67" i="8"/>
  <c r="D67" i="8"/>
  <c r="G69" i="8"/>
  <c r="C65" i="8" l="1"/>
  <c r="D66" i="8"/>
  <c r="E66" i="8" s="1"/>
  <c r="G66" i="8" l="1"/>
  <c r="C64" i="8"/>
  <c r="D65" i="8"/>
  <c r="E65" i="8" s="1"/>
  <c r="G67" i="8"/>
  <c r="C63" i="8" l="1"/>
  <c r="D64" i="8"/>
  <c r="D63" i="8" s="1"/>
  <c r="E64" i="8" l="1"/>
  <c r="G64" i="8" s="1"/>
  <c r="G65" i="8"/>
  <c r="C62" i="8"/>
  <c r="D62" i="8" s="1"/>
  <c r="E63" i="8"/>
  <c r="G63" i="8" l="1"/>
  <c r="C61" i="8"/>
  <c r="E62" i="8"/>
  <c r="C60" i="8" l="1"/>
  <c r="D61" i="8"/>
  <c r="D60" i="8" s="1"/>
  <c r="G62" i="8"/>
  <c r="E61" i="8" l="1"/>
  <c r="C59" i="8"/>
  <c r="E60" i="8"/>
  <c r="C58" i="8" l="1"/>
  <c r="G61" i="8"/>
  <c r="G60" i="8"/>
  <c r="D59" i="8"/>
  <c r="D58" i="8" s="1"/>
  <c r="E59" i="8" l="1"/>
  <c r="C57" i="8"/>
  <c r="E58" i="8"/>
  <c r="C56" i="8" l="1"/>
  <c r="D57" i="8"/>
  <c r="D56" i="8" s="1"/>
  <c r="E57" i="8" l="1"/>
  <c r="C55" i="8"/>
  <c r="E56" i="8"/>
  <c r="G59" i="8"/>
  <c r="G58" i="8"/>
  <c r="C54" i="8" l="1"/>
  <c r="G57" i="8"/>
  <c r="G56" i="8"/>
  <c r="D55" i="8"/>
  <c r="D54" i="8" s="1"/>
  <c r="E55" i="8" l="1"/>
  <c r="C53" i="8"/>
  <c r="E54" i="8"/>
  <c r="C52" i="8" l="1"/>
  <c r="D53" i="8"/>
  <c r="D52" i="8" s="1"/>
  <c r="G55" i="8" l="1"/>
  <c r="E53" i="8"/>
  <c r="C51" i="8"/>
  <c r="E52" i="8"/>
  <c r="G54" i="8"/>
  <c r="C50" i="8" l="1"/>
  <c r="D51" i="8"/>
  <c r="D50" i="8" s="1"/>
  <c r="G53" i="8" l="1"/>
  <c r="E51" i="8"/>
  <c r="C49" i="8"/>
  <c r="D49" i="8" s="1"/>
  <c r="E50" i="8"/>
  <c r="G52" i="8"/>
  <c r="C48" i="8" l="1"/>
  <c r="E49" i="8"/>
  <c r="G51" i="8"/>
  <c r="C47" i="8" l="1"/>
  <c r="D48" i="8"/>
  <c r="D47" i="8" s="1"/>
  <c r="G50" i="8"/>
  <c r="E48" i="8" l="1"/>
  <c r="C46" i="8"/>
  <c r="D46" i="8" s="1"/>
  <c r="E47" i="8"/>
  <c r="G49" i="8"/>
  <c r="C45" i="8" l="1"/>
  <c r="E46" i="8"/>
  <c r="G47" i="8"/>
  <c r="G48" i="8"/>
  <c r="C44" i="8" l="1"/>
  <c r="D45" i="8"/>
  <c r="D44" i="8" s="1"/>
  <c r="E45" i="8" l="1"/>
  <c r="G45" i="8" s="1"/>
  <c r="G46" i="8"/>
  <c r="C43" i="8"/>
  <c r="D43" i="8" s="1"/>
  <c r="E44" i="8"/>
  <c r="C42" i="8" l="1"/>
  <c r="E43" i="8"/>
  <c r="C41" i="8" l="1"/>
  <c r="G44" i="8"/>
  <c r="G43" i="8"/>
  <c r="D42" i="8"/>
  <c r="D41" i="8" s="1"/>
  <c r="E42" i="8" l="1"/>
  <c r="C40" i="8"/>
  <c r="E41" i="8"/>
  <c r="C39" i="8" l="1"/>
  <c r="D40" i="8"/>
  <c r="D39" i="8" s="1"/>
  <c r="G42" i="8" l="1"/>
  <c r="E40" i="8"/>
  <c r="C38" i="8"/>
  <c r="E39" i="8"/>
  <c r="G41" i="8"/>
  <c r="C37" i="8" l="1"/>
  <c r="D38" i="8"/>
  <c r="D37" i="8" s="1"/>
  <c r="G40" i="8" l="1"/>
  <c r="E38" i="8"/>
  <c r="C36" i="8"/>
  <c r="D36" i="8" s="1"/>
  <c r="E37" i="8"/>
  <c r="G39" i="8"/>
  <c r="C35" i="8" l="1"/>
  <c r="E36" i="8"/>
  <c r="G38" i="8"/>
  <c r="C34" i="8" l="1"/>
  <c r="D35" i="8"/>
  <c r="D34" i="8" s="1"/>
  <c r="G37" i="8"/>
  <c r="E35" i="8" l="1"/>
  <c r="C33" i="8"/>
  <c r="E34" i="8"/>
  <c r="G36" i="8"/>
  <c r="C32" i="8" l="1"/>
  <c r="D33" i="8"/>
  <c r="E33" i="8" s="1"/>
  <c r="G35" i="8" l="1"/>
  <c r="C31" i="8"/>
  <c r="D32" i="8"/>
  <c r="D31" i="8" s="1"/>
  <c r="G34" i="8"/>
  <c r="E32" i="8" l="1"/>
  <c r="C30" i="8"/>
  <c r="E31" i="8"/>
  <c r="G33" i="8"/>
  <c r="C29" i="8" l="1"/>
  <c r="G31" i="8"/>
  <c r="D30" i="8"/>
  <c r="D29" i="8" s="1"/>
  <c r="G32" i="8" l="1"/>
  <c r="E30" i="8"/>
  <c r="C28" i="8"/>
  <c r="E29" i="8"/>
  <c r="C27" i="8" l="1"/>
  <c r="D28" i="8"/>
  <c r="D27" i="8" s="1"/>
  <c r="G29" i="8"/>
  <c r="G30" i="8"/>
  <c r="E28" i="8" l="1"/>
  <c r="C26" i="8"/>
  <c r="E27" i="8"/>
  <c r="C25" i="8" l="1"/>
  <c r="D26" i="8"/>
  <c r="D25" i="8" s="1"/>
  <c r="G28" i="8" l="1"/>
  <c r="E26" i="8"/>
  <c r="C24" i="8"/>
  <c r="E25" i="8"/>
  <c r="G27" i="8"/>
  <c r="C23" i="8" l="1"/>
  <c r="D24" i="8"/>
  <c r="G25" i="8"/>
  <c r="G26" i="8"/>
  <c r="D23" i="8" l="1"/>
  <c r="E24" i="8"/>
  <c r="C22" i="8"/>
  <c r="E23" i="8"/>
  <c r="C21" i="8" l="1"/>
  <c r="G24" i="8"/>
  <c r="G23" i="8"/>
  <c r="D22" i="8"/>
  <c r="D21" i="8" s="1"/>
  <c r="E22" i="8" l="1"/>
  <c r="C20" i="8"/>
  <c r="E21" i="8"/>
  <c r="C19" i="8" l="1"/>
  <c r="D20" i="8"/>
  <c r="D19" i="8" l="1"/>
  <c r="E20" i="8"/>
  <c r="C18" i="8"/>
  <c r="E19" i="8"/>
  <c r="G22" i="8"/>
  <c r="G21" i="8"/>
  <c r="C17" i="8" l="1"/>
  <c r="D18" i="8"/>
  <c r="G19" i="8"/>
  <c r="G20" i="8"/>
  <c r="D17" i="8" l="1"/>
  <c r="E17" i="8" s="1"/>
  <c r="E18" i="8"/>
  <c r="C16" i="8"/>
  <c r="C15" i="8" l="1"/>
  <c r="D16" i="8"/>
  <c r="D15" i="8" l="1"/>
  <c r="E16" i="8"/>
  <c r="C14" i="8"/>
  <c r="E15" i="8"/>
  <c r="G18" i="8"/>
  <c r="G17" i="8"/>
  <c r="C13" i="8" l="1"/>
  <c r="G16" i="8"/>
  <c r="G15" i="8"/>
  <c r="D14" i="8"/>
  <c r="D13" i="8" l="1"/>
  <c r="E14" i="8"/>
  <c r="C12" i="8"/>
  <c r="E13" i="8"/>
  <c r="C11" i="8" l="1"/>
  <c r="D12" i="8"/>
  <c r="D11" i="8" s="1"/>
  <c r="G14" i="8" l="1"/>
  <c r="E12" i="8"/>
  <c r="C10" i="8"/>
  <c r="E11" i="8"/>
  <c r="G13" i="8"/>
  <c r="C9" i="8" l="1"/>
  <c r="D10" i="8"/>
  <c r="D9" i="8" s="1"/>
  <c r="G12" i="8"/>
  <c r="E10" i="8" l="1"/>
  <c r="C8" i="8"/>
  <c r="E9" i="8"/>
  <c r="G11" i="8"/>
  <c r="C7" i="8" l="1"/>
  <c r="D8" i="8"/>
  <c r="D7" i="8" s="1"/>
  <c r="G9" i="8"/>
  <c r="G10" i="8"/>
  <c r="E8" i="8" l="1"/>
  <c r="C6" i="8"/>
  <c r="E7" i="8"/>
  <c r="C5" i="8" l="1"/>
  <c r="G8" i="8"/>
  <c r="G7" i="8"/>
  <c r="D6" i="8"/>
  <c r="D5" i="8" s="1"/>
  <c r="E6" i="8" l="1"/>
  <c r="C4" i="8"/>
  <c r="E5" i="8"/>
  <c r="C3" i="8" l="1"/>
  <c r="D4" i="8"/>
  <c r="D3" i="8" s="1"/>
  <c r="G6" i="8" l="1"/>
  <c r="E4" i="8"/>
  <c r="C2" i="8"/>
  <c r="M14" i="8" s="1"/>
  <c r="E3" i="8"/>
  <c r="G5" i="8"/>
  <c r="D2" i="8" l="1"/>
  <c r="G4" i="8"/>
  <c r="E2" i="8" l="1"/>
  <c r="M16" i="8" s="1"/>
  <c r="M15" i="8"/>
  <c r="G3" i="8"/>
  <c r="G2" i="8" l="1"/>
  <c r="M18" i="8" s="1"/>
  <c r="M17" i="8"/>
</calcChain>
</file>

<file path=xl/sharedStrings.xml><?xml version="1.0" encoding="utf-8"?>
<sst xmlns="http://schemas.openxmlformats.org/spreadsheetml/2006/main" count="1751" uniqueCount="239">
  <si>
    <t xml:space="preserve">Date </t>
  </si>
  <si>
    <t>Day</t>
  </si>
  <si>
    <t>Month</t>
  </si>
  <si>
    <t>Quarter</t>
  </si>
  <si>
    <t>Year</t>
  </si>
  <si>
    <t xml:space="preserve">series </t>
  </si>
  <si>
    <t xml:space="preserve">OPEN </t>
  </si>
  <si>
    <t xml:space="preserve">HIGH </t>
  </si>
  <si>
    <t xml:space="preserve">LOW </t>
  </si>
  <si>
    <t xml:space="preserve">PREV. CLOSE </t>
  </si>
  <si>
    <t xml:space="preserve">ltp </t>
  </si>
  <si>
    <t xml:space="preserve">close </t>
  </si>
  <si>
    <t xml:space="preserve">vwap </t>
  </si>
  <si>
    <t xml:space="preserve">52W H </t>
  </si>
  <si>
    <t xml:space="preserve">52W L </t>
  </si>
  <si>
    <t xml:space="preserve">VOLUME </t>
  </si>
  <si>
    <t xml:space="preserve">No of trades </t>
  </si>
  <si>
    <t>Thursday</t>
  </si>
  <si>
    <t>March</t>
  </si>
  <si>
    <t>Q1</t>
  </si>
  <si>
    <t>EQ</t>
  </si>
  <si>
    <t>Wednesday</t>
  </si>
  <si>
    <t>Tuesday</t>
  </si>
  <si>
    <t>Monday</t>
  </si>
  <si>
    <t>Friday</t>
  </si>
  <si>
    <t>February</t>
  </si>
  <si>
    <t>Saturday</t>
  </si>
  <si>
    <t>January</t>
  </si>
  <si>
    <t>December</t>
  </si>
  <si>
    <t>Q4</t>
  </si>
  <si>
    <t>November</t>
  </si>
  <si>
    <t>October</t>
  </si>
  <si>
    <t>September</t>
  </si>
  <si>
    <t>Q3</t>
  </si>
  <si>
    <t>August</t>
  </si>
  <si>
    <t>July</t>
  </si>
  <si>
    <t>June</t>
  </si>
  <si>
    <t>Q2</t>
  </si>
  <si>
    <t>May</t>
  </si>
  <si>
    <t>April</t>
  </si>
  <si>
    <t>Trend Analysis</t>
  </si>
  <si>
    <t>Volume</t>
  </si>
  <si>
    <t>Column1</t>
  </si>
  <si>
    <t>Closing Stock</t>
  </si>
  <si>
    <t>ROI for Stock</t>
  </si>
  <si>
    <t>ROI Month Wise</t>
  </si>
  <si>
    <t>ROI per month</t>
  </si>
  <si>
    <t>Average ROI per Stock in 1 year period=</t>
  </si>
  <si>
    <t>ADJ closing price</t>
  </si>
  <si>
    <t>Forcasting on ROI for next 6 months=</t>
  </si>
  <si>
    <t>Variance</t>
  </si>
  <si>
    <t>Standard Daviation for daily return</t>
  </si>
  <si>
    <t>Return of the day</t>
  </si>
  <si>
    <t>Multiplier</t>
  </si>
  <si>
    <t>Time Period</t>
  </si>
  <si>
    <t>Simple Moving Average(SMA)</t>
  </si>
  <si>
    <t>Exponential Moving Average(EMA)</t>
  </si>
  <si>
    <t>EMA</t>
  </si>
  <si>
    <t>((CLOSE-PREV EMA)*MULTIPLIER)+PREV EMA</t>
  </si>
  <si>
    <t>Input Period= 14</t>
  </si>
  <si>
    <t>change</t>
  </si>
  <si>
    <t>Gain</t>
  </si>
  <si>
    <t>Loss</t>
  </si>
  <si>
    <t>AVG Gain</t>
  </si>
  <si>
    <t>AVG Loss</t>
  </si>
  <si>
    <t>RS</t>
  </si>
  <si>
    <t>RSI</t>
  </si>
  <si>
    <t>RSI= 100-(100/1+RS)) =</t>
  </si>
  <si>
    <t>RS-= Average gain/Average Loss =</t>
  </si>
  <si>
    <t>MACD Line: (12 day EMA -26 day EMA )</t>
  </si>
  <si>
    <t>Signal line: 9-day EMA of MACD line</t>
  </si>
  <si>
    <t>MACD Histogram: MACD line- Signal line</t>
  </si>
  <si>
    <t>12 Day EMA</t>
  </si>
  <si>
    <t>26 day EMA</t>
  </si>
  <si>
    <t>Histogram</t>
  </si>
  <si>
    <t>multiplier</t>
  </si>
  <si>
    <t>Exponential Moving Average(EMA) 10 Days</t>
  </si>
  <si>
    <t>12 day EMA</t>
  </si>
  <si>
    <t>MACD line</t>
  </si>
  <si>
    <t>Signal line</t>
  </si>
  <si>
    <t>MACD Histogram</t>
  </si>
  <si>
    <t>Balance Sheet of JSW Energy (in Rs. Cr.)</t>
  </si>
  <si>
    <t>12 mths</t>
  </si>
  <si>
    <t>EQUITIES AND LIABILITIES</t>
  </si>
  <si>
    <t>SHAREHOLDER'S FUNDS</t>
  </si>
  <si>
    <t>Equity Share Capital</t>
  </si>
  <si>
    <t>Total Share Capital</t>
  </si>
  <si>
    <t>Reserves and Surplus</t>
  </si>
  <si>
    <t>Total Reserves and Surplus</t>
  </si>
  <si>
    <t>Total Shareholders Funds</t>
  </si>
  <si>
    <t>NON-CURRENT LIABILITIES</t>
  </si>
  <si>
    <t>Long Term Borrowings</t>
  </si>
  <si>
    <t>Deferred Tax Liabilities [Net]</t>
  </si>
  <si>
    <t>Other Long Term Liabilities</t>
  </si>
  <si>
    <t>Long Term Provisions</t>
  </si>
  <si>
    <t>Total Non-Current Liabilities</t>
  </si>
  <si>
    <t>CURRENT LIABILITIES</t>
  </si>
  <si>
    <t>Short Term Borrowings</t>
  </si>
  <si>
    <t>Trade Payables</t>
  </si>
  <si>
    <t>Other Current Liabilities</t>
  </si>
  <si>
    <t>Short Term Provisions</t>
  </si>
  <si>
    <t>Total Current Liabilities</t>
  </si>
  <si>
    <t>Total Capital And Liabilities</t>
  </si>
  <si>
    <t>ASSETS</t>
  </si>
  <si>
    <t>NON-CURRENT ASSETS</t>
  </si>
  <si>
    <t>Tangible Assets</t>
  </si>
  <si>
    <t>Intangible Assets</t>
  </si>
  <si>
    <t>Capital Work-In-Progress</t>
  </si>
  <si>
    <t>Other Assets</t>
  </si>
  <si>
    <t>Fixed Assets</t>
  </si>
  <si>
    <t>Non-Current Investments</t>
  </si>
  <si>
    <t>Deferred Tax Assets [Net]</t>
  </si>
  <si>
    <t>Long Term Loans And Advances</t>
  </si>
  <si>
    <t>Other Non-Current Assets</t>
  </si>
  <si>
    <t>Total Non-Current Assets</t>
  </si>
  <si>
    <t>CURRENT ASSETS</t>
  </si>
  <si>
    <t>Current Investments</t>
  </si>
  <si>
    <t>Inventories</t>
  </si>
  <si>
    <t>Trade Receivables</t>
  </si>
  <si>
    <t>Cash And Cash Equivalents</t>
  </si>
  <si>
    <t>Short Term Loans And Advances</t>
  </si>
  <si>
    <t>OtherCurrentAssets</t>
  </si>
  <si>
    <t>Total Current Assets</t>
  </si>
  <si>
    <t>Total Assets</t>
  </si>
  <si>
    <t>OTHER ADDITIONAL INFORMATION</t>
  </si>
  <si>
    <t>CONTINGENT LIABILITIES, COMMITMENTS</t>
  </si>
  <si>
    <t>Contingent Liabilities</t>
  </si>
  <si>
    <t>CIF VALUE OF IMPORTS</t>
  </si>
  <si>
    <t>Raw Materials</t>
  </si>
  <si>
    <t>Stores, Spares And Loose Tools</t>
  </si>
  <si>
    <t>Trade/Other Goods</t>
  </si>
  <si>
    <t>Capital Goods</t>
  </si>
  <si>
    <t>EXPENDITURE IN FOREIGN EXCHANGE</t>
  </si>
  <si>
    <t>Expenditure In Foreign Currency</t>
  </si>
  <si>
    <t>REMITTANCES IN FOREIGN CURRENCIES FOR DIVIDENDS</t>
  </si>
  <si>
    <t>Dividend Remittance In Foreign Currency</t>
  </si>
  <si>
    <t>--</t>
  </si>
  <si>
    <t>EARNINGS IN FOREIGN EXCHANGE</t>
  </si>
  <si>
    <t>FOB Value Of Goods</t>
  </si>
  <si>
    <t>Other Earnings</t>
  </si>
  <si>
    <t>BONUS DETAILS</t>
  </si>
  <si>
    <t>Bonus Equity Share Capital</t>
  </si>
  <si>
    <t>NON-CURRENT INVESTMENTS</t>
  </si>
  <si>
    <t>Non-Current Investments Quoted Market Value</t>
  </si>
  <si>
    <t>Non-Current Investments Unquoted Book Value</t>
  </si>
  <si>
    <t>CURRENT INVESTMENTS</t>
  </si>
  <si>
    <t>Current Investments Quoted Market Value</t>
  </si>
  <si>
    <t>Current Investments Unquoted Book Value</t>
  </si>
  <si>
    <t>JSW Energy</t>
  </si>
  <si>
    <t>Previous Years �</t>
  </si>
  <si>
    <t>------------------- in Rs. Cr. -------------------</t>
  </si>
  <si>
    <t>Mar 24</t>
  </si>
  <si>
    <t>INCOME</t>
  </si>
  <si>
    <t>Revenue From Operations [Gross]</t>
  </si>
  <si>
    <t>Revenue From Operations [Net]</t>
  </si>
  <si>
    <t>Other Operating Revenues</t>
  </si>
  <si>
    <t>Total Operating Revenues</t>
  </si>
  <si>
    <t>Other Income</t>
  </si>
  <si>
    <t>Total Revenue</t>
  </si>
  <si>
    <t>EXPENSES</t>
  </si>
  <si>
    <t>Purchase Of Stock-In Trade</t>
  </si>
  <si>
    <t>Cost Of Fuel</t>
  </si>
  <si>
    <t>Employee Benefit Expenses</t>
  </si>
  <si>
    <t>Finance Costs</t>
  </si>
  <si>
    <t>Depreciation And Amortisation Expenses</t>
  </si>
  <si>
    <t>Other Expenses</t>
  </si>
  <si>
    <t>Total Expenses</t>
  </si>
  <si>
    <t>Profit/Loss Before Exceptional, ExtraOrdinary Items And Tax</t>
  </si>
  <si>
    <t>Exceptional Items</t>
  </si>
  <si>
    <t>Profit/Loss Before Tax</t>
  </si>
  <si>
    <t>Tax Expenses-Continued Operations</t>
  </si>
  <si>
    <t>Current Tax</t>
  </si>
  <si>
    <t>Deferred Tax</t>
  </si>
  <si>
    <t>Total Tax Expenses</t>
  </si>
  <si>
    <t>Profit/Loss After Tax And Before ExtraOrdinary Items</t>
  </si>
  <si>
    <t>Profit/Loss From Continuing Operations</t>
  </si>
  <si>
    <t>Profit/Loss For The Period</t>
  </si>
  <si>
    <t>EARNINGS PER SHARE</t>
  </si>
  <si>
    <t>Basic EPS (Rs.)</t>
  </si>
  <si>
    <t>Diluted EPS (Rs.)</t>
  </si>
  <si>
    <t>VALUE OF IMPORTED AND INDIGENIOUS RAW MATERIALS</t>
  </si>
  <si>
    <t>STORES, SPARES AND LOOSE TOOLS</t>
  </si>
  <si>
    <t>DIVIDEND AND DIVIDEND PERCENTAGE</t>
  </si>
  <si>
    <t>Equity Share Dividend</t>
  </si>
  <si>
    <t>Tax On Dividend</t>
  </si>
  <si>
    <t>Equity Dividend Rate (%)</t>
  </si>
  <si>
    <t>Income Statement</t>
  </si>
  <si>
    <t>Horizontal Analysis Of Income Statement of JSWENERGY</t>
  </si>
  <si>
    <t>Horizontal Analysis Of Balance Sheet of JSWENERGY</t>
  </si>
  <si>
    <t>Average Variance</t>
  </si>
  <si>
    <t>Average % change</t>
  </si>
  <si>
    <t>Variance from PY</t>
  </si>
  <si>
    <t>%  change</t>
  </si>
  <si>
    <t>V% Points</t>
  </si>
  <si>
    <t>2024 vs 2023</t>
  </si>
  <si>
    <t>Vertical Analysis of Income Statement</t>
  </si>
  <si>
    <t>Vertical Analysis of Balance sheet</t>
  </si>
  <si>
    <t>1. Liquidity and Solvency Ratio</t>
  </si>
  <si>
    <t>Current Ratio</t>
  </si>
  <si>
    <t>Acid test(Quick) Ratio</t>
  </si>
  <si>
    <t>Debt to equity Ratio</t>
  </si>
  <si>
    <t>Debt to asset Ratio</t>
  </si>
  <si>
    <t>2.Profitability Ratios</t>
  </si>
  <si>
    <t>Profit margin ratio</t>
  </si>
  <si>
    <t>Return on total assets</t>
  </si>
  <si>
    <t>return on equity</t>
  </si>
  <si>
    <t>3.Turnover ratios(Expressed in times)</t>
  </si>
  <si>
    <t>Asset turnover ratio</t>
  </si>
  <si>
    <t>Inventory Turnover</t>
  </si>
  <si>
    <t>Working Capital turnover</t>
  </si>
  <si>
    <t>4.Capital Market Ratios(Direct Inputs)</t>
  </si>
  <si>
    <t>Dividend yield</t>
  </si>
  <si>
    <t>JSWENERGY</t>
  </si>
  <si>
    <t>TOTAL LIABILITIES</t>
  </si>
  <si>
    <t>TOTAL DEBT</t>
  </si>
  <si>
    <t>AVERAGE TOTAL ASSETS</t>
  </si>
  <si>
    <t>NET INCOME</t>
  </si>
  <si>
    <t>Return on capital employed(RCE)</t>
  </si>
  <si>
    <t>NET SALES</t>
  </si>
  <si>
    <t>Accounts Receivable ratio</t>
  </si>
  <si>
    <t>Average account Receivables</t>
  </si>
  <si>
    <t>Cost of goods sold</t>
  </si>
  <si>
    <t>Working Capital</t>
  </si>
  <si>
    <t>Average Working Capital</t>
  </si>
  <si>
    <t>Price to earning ratio</t>
  </si>
  <si>
    <t>Price to book ratio</t>
  </si>
  <si>
    <t>Book value of equity</t>
  </si>
  <si>
    <t>Average Return Per day</t>
  </si>
  <si>
    <t>Mar-24</t>
  </si>
  <si>
    <t>Mar-23</t>
  </si>
  <si>
    <t>Mar-22</t>
  </si>
  <si>
    <t>Mar-21</t>
  </si>
  <si>
    <t>Mar-20</t>
  </si>
  <si>
    <t>Column2</t>
  </si>
  <si>
    <t>Column3</t>
  </si>
  <si>
    <t>Column4</t>
  </si>
  <si>
    <t>Column5</t>
  </si>
  <si>
    <t>Column6</t>
  </si>
  <si>
    <t>JSW Energy Income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</si>
</sst>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"/>
    <numFmt numFmtId="166" formatCode="0.000"/>
    <numFmt numFmtId="167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15" fontId="0" fillId="0" borderId="0" xfId="0" applyNumberFormat="1"/>
    <xf numFmtId="17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33" borderId="0" xfId="0" applyFill="1" applyAlignment="1">
      <alignment horizontal="center"/>
    </xf>
    <xf numFmtId="164" fontId="0" fillId="0" borderId="0" xfId="0" applyNumberFormat="1"/>
    <xf numFmtId="17" fontId="0" fillId="0" borderId="10" xfId="0" applyNumberFormat="1" applyBorder="1" applyAlignment="1">
      <alignment horizontal="center" vertical="top"/>
    </xf>
    <xf numFmtId="17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0" fontId="0" fillId="0" borderId="10" xfId="0" applyNumberFormat="1" applyBorder="1"/>
    <xf numFmtId="164" fontId="0" fillId="0" borderId="10" xfId="0" applyNumberFormat="1" applyBorder="1"/>
    <xf numFmtId="164" fontId="16" fillId="33" borderId="0" xfId="0" applyNumberFormat="1" applyFont="1" applyFill="1"/>
    <xf numFmtId="10" fontId="16" fillId="33" borderId="0" xfId="0" applyNumberFormat="1" applyFont="1" applyFill="1"/>
    <xf numFmtId="0" fontId="0" fillId="33" borderId="0" xfId="0" applyFill="1"/>
    <xf numFmtId="0" fontId="0" fillId="33" borderId="1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6" fillId="0" borderId="0" xfId="0" applyFont="1"/>
    <xf numFmtId="165" fontId="16" fillId="0" borderId="0" xfId="0" applyNumberFormat="1" applyFont="1"/>
    <xf numFmtId="0" fontId="16" fillId="33" borderId="0" xfId="0" applyFont="1" applyFill="1"/>
    <xf numFmtId="165" fontId="16" fillId="33" borderId="0" xfId="0" applyNumberFormat="1" applyFont="1" applyFill="1"/>
    <xf numFmtId="2" fontId="16" fillId="33" borderId="0" xfId="0" applyNumberFormat="1" applyFont="1" applyFill="1"/>
    <xf numFmtId="167" fontId="16" fillId="33" borderId="0" xfId="0" applyNumberFormat="1" applyFont="1" applyFill="1"/>
    <xf numFmtId="0" fontId="0" fillId="0" borderId="10" xfId="0" applyBorder="1"/>
    <xf numFmtId="2" fontId="0" fillId="0" borderId="10" xfId="0" applyNumberFormat="1" applyBorder="1"/>
    <xf numFmtId="0" fontId="16" fillId="0" borderId="10" xfId="0" applyFont="1" applyBorder="1"/>
    <xf numFmtId="0" fontId="0" fillId="0" borderId="0" xfId="0" applyBorder="1"/>
    <xf numFmtId="0" fontId="16" fillId="34" borderId="0" xfId="0" applyFont="1" applyFill="1" applyBorder="1"/>
    <xf numFmtId="0" fontId="0" fillId="33" borderId="0" xfId="0" applyFill="1" applyAlignment="1">
      <alignment horizontal="center"/>
    </xf>
    <xf numFmtId="0" fontId="16" fillId="33" borderId="0" xfId="0" applyFont="1" applyFill="1" applyAlignment="1">
      <alignment horizontal="center"/>
    </xf>
    <xf numFmtId="17" fontId="0" fillId="0" borderId="0" xfId="0" applyNumberFormat="1"/>
    <xf numFmtId="4" fontId="0" fillId="0" borderId="0" xfId="0" applyNumberFormat="1"/>
    <xf numFmtId="10" fontId="0" fillId="0" borderId="0" xfId="0" applyNumberFormat="1"/>
    <xf numFmtId="17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7" fontId="0" fillId="33" borderId="0" xfId="0" applyNumberFormat="1" applyFill="1" applyAlignment="1">
      <alignment horizontal="center"/>
    </xf>
    <xf numFmtId="17" fontId="0" fillId="34" borderId="0" xfId="0" applyNumberFormat="1" applyFill="1" applyAlignment="1"/>
    <xf numFmtId="0" fontId="0" fillId="0" borderId="0" xfId="0" applyAlignment="1"/>
    <xf numFmtId="0" fontId="16" fillId="33" borderId="10" xfId="0" applyFont="1" applyFill="1" applyBorder="1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right"/>
    </xf>
    <xf numFmtId="4" fontId="16" fillId="33" borderId="0" xfId="0" applyNumberFormat="1" applyFont="1" applyFill="1"/>
    <xf numFmtId="17" fontId="16" fillId="33" borderId="0" xfId="0" applyNumberFormat="1" applyFont="1" applyFill="1"/>
    <xf numFmtId="0" fontId="16" fillId="33" borderId="10" xfId="0" applyFont="1" applyFill="1" applyBorder="1" applyAlignment="1">
      <alignment horizontal="right"/>
    </xf>
    <xf numFmtId="4" fontId="0" fillId="0" borderId="10" xfId="0" applyNumberFormat="1" applyBorder="1"/>
    <xf numFmtId="9" fontId="0" fillId="0" borderId="0" xfId="42" applyFont="1"/>
    <xf numFmtId="164" fontId="0" fillId="0" borderId="0" xfId="42" applyNumberFormat="1" applyFont="1"/>
    <xf numFmtId="10" fontId="0" fillId="0" borderId="0" xfId="42" applyNumberFormat="1" applyFont="1"/>
    <xf numFmtId="9" fontId="0" fillId="0" borderId="0" xfId="42" applyNumberFormat="1" applyFont="1"/>
    <xf numFmtId="17" fontId="16" fillId="0" borderId="0" xfId="0" applyNumberFormat="1" applyFont="1"/>
    <xf numFmtId="0" fontId="0" fillId="0" borderId="0" xfId="0" applyFont="1"/>
    <xf numFmtId="166" fontId="0" fillId="0" borderId="0" xfId="0" applyNumberFormat="1"/>
    <xf numFmtId="2" fontId="0" fillId="0" borderId="0" xfId="0" applyNumberFormat="1"/>
    <xf numFmtId="0" fontId="0" fillId="33" borderId="0" xfId="0" applyFill="1" applyAlignment="1">
      <alignment horizontal="center"/>
    </xf>
    <xf numFmtId="0" fontId="16" fillId="33" borderId="0" xfId="0" applyFont="1" applyFill="1" applyAlignment="1">
      <alignment horizontal="center"/>
    </xf>
    <xf numFmtId="9" fontId="0" fillId="0" borderId="0" xfId="0" applyNumberFormat="1"/>
    <xf numFmtId="0" fontId="0" fillId="33" borderId="0" xfId="0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4" borderId="0" xfId="0" applyFont="1" applyFill="1" applyAlignment="1">
      <alignment horizontal="center"/>
    </xf>
    <xf numFmtId="0" fontId="0" fillId="35" borderId="0" xfId="0" applyFill="1"/>
    <xf numFmtId="15" fontId="0" fillId="0" borderId="11" xfId="0" applyNumberFormat="1" applyBorder="1"/>
    <xf numFmtId="166" fontId="0" fillId="0" borderId="12" xfId="0" applyNumberFormat="1" applyBorder="1" applyAlignment="1">
      <alignment horizontal="center"/>
    </xf>
    <xf numFmtId="15" fontId="0" fillId="0" borderId="16" xfId="0" applyNumberFormat="1" applyBorder="1"/>
    <xf numFmtId="0" fontId="0" fillId="0" borderId="17" xfId="0" applyBorder="1"/>
    <xf numFmtId="166" fontId="0" fillId="0" borderId="18" xfId="0" applyNumberFormat="1" applyBorder="1" applyAlignment="1">
      <alignment horizontal="center"/>
    </xf>
    <xf numFmtId="0" fontId="0" fillId="0" borderId="18" xfId="0" applyBorder="1"/>
    <xf numFmtId="0" fontId="19" fillId="33" borderId="13" xfId="0" applyFont="1" applyFill="1" applyBorder="1"/>
    <xf numFmtId="0" fontId="19" fillId="33" borderId="14" xfId="0" applyFont="1" applyFill="1" applyBorder="1"/>
    <xf numFmtId="0" fontId="19" fillId="33" borderId="15" xfId="0" applyFont="1" applyFill="1" applyBorder="1" applyAlignment="1">
      <alignment horizontal="center"/>
    </xf>
    <xf numFmtId="2" fontId="0" fillId="0" borderId="12" xfId="0" applyNumberFormat="1" applyBorder="1"/>
    <xf numFmtId="0" fontId="0" fillId="0" borderId="12" xfId="0" applyBorder="1"/>
    <xf numFmtId="15" fontId="19" fillId="0" borderId="11" xfId="0" applyNumberFormat="1" applyFont="1" applyBorder="1"/>
    <xf numFmtId="0" fontId="19" fillId="0" borderId="10" xfId="0" applyFont="1" applyBorder="1"/>
    <xf numFmtId="2" fontId="19" fillId="0" borderId="10" xfId="0" applyNumberFormat="1" applyFont="1" applyBorder="1"/>
    <xf numFmtId="2" fontId="19" fillId="0" borderId="12" xfId="0" applyNumberFormat="1" applyFont="1" applyBorder="1"/>
    <xf numFmtId="0" fontId="19" fillId="0" borderId="12" xfId="0" applyFont="1" applyBorder="1"/>
    <xf numFmtId="15" fontId="19" fillId="0" borderId="16" xfId="0" applyNumberFormat="1" applyFont="1" applyBorder="1"/>
    <xf numFmtId="0" fontId="19" fillId="0" borderId="17" xfId="0" applyFont="1" applyBorder="1"/>
    <xf numFmtId="0" fontId="19" fillId="0" borderId="18" xfId="0" applyFont="1" applyBorder="1"/>
    <xf numFmtId="0" fontId="19" fillId="33" borderId="15" xfId="0" applyFont="1" applyFill="1" applyBorder="1"/>
    <xf numFmtId="0" fontId="20" fillId="33" borderId="0" xfId="0" applyFont="1" applyFill="1" applyAlignment="1">
      <alignment horizontal="center"/>
    </xf>
    <xf numFmtId="17" fontId="20" fillId="33" borderId="0" xfId="0" applyNumberFormat="1" applyFont="1" applyFill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20" fillId="33" borderId="0" xfId="0" applyFont="1" applyFill="1"/>
    <xf numFmtId="164" fontId="0" fillId="0" borderId="10" xfId="0" applyNumberFormat="1" applyFont="1" applyBorder="1"/>
    <xf numFmtId="10" fontId="0" fillId="0" borderId="10" xfId="0" applyNumberFormat="1" applyFont="1" applyBorder="1"/>
    <xf numFmtId="17" fontId="20" fillId="33" borderId="0" xfId="0" applyNumberFormat="1" applyFont="1" applyFill="1"/>
    <xf numFmtId="0" fontId="20" fillId="33" borderId="13" xfId="0" applyFont="1" applyFill="1" applyBorder="1"/>
    <xf numFmtId="0" fontId="20" fillId="33" borderId="14" xfId="0" applyFont="1" applyFill="1" applyBorder="1"/>
    <xf numFmtId="0" fontId="20" fillId="33" borderId="15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6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22" formatCode="mmm/yy"/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0.39994506668294322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22" formatCode="mmm/yy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/yy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20" formatCode="dd/mmm/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numFmt numFmtId="166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1"/>
        </patternFill>
      </fill>
    </dxf>
    <dxf>
      <numFmt numFmtId="20" formatCode="dd/mmm/yy"/>
    </dxf>
    <dxf>
      <numFmt numFmtId="164" formatCode="0.0%"/>
    </dxf>
    <dxf>
      <numFmt numFmtId="20" formatCode="dd/mmm/yy"/>
    </dxf>
    <dxf>
      <numFmt numFmtId="20" formatCode="dd/mmm/yy"/>
    </dxf>
    <dxf>
      <numFmt numFmtId="20" formatCode="dd/mmm/yy"/>
    </dxf>
    <dxf>
      <numFmt numFmtId="20" formatCode="dd/mmm/yy"/>
    </dxf>
    <dxf>
      <numFmt numFmtId="20" formatCode="dd/mmm/yy"/>
    </dxf>
  </dxfs>
  <tableStyles count="0" defaultTableStyle="TableStyleMedium2" defaultPivotStyle="PivotStyleLight16"/>
  <colors>
    <mruColors>
      <color rgb="FF000000"/>
      <color rgb="FFFE62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Trend Analysis of Stock Price</a:t>
            </a:r>
          </a:p>
        </c:rich>
      </c:tx>
      <c:layout>
        <c:manualLayout>
          <c:xMode val="edge"/>
          <c:yMode val="edge"/>
          <c:x val="0.2987351238629417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0411893718764607E-2"/>
          <c:y val="0.19486111111111112"/>
          <c:w val="0.95219084600726278"/>
          <c:h val="0.64426837270341208"/>
        </c:manualLayout>
      </c:layout>
      <c:lineChart>
        <c:grouping val="standard"/>
        <c:varyColors val="0"/>
        <c:ser>
          <c:idx val="0"/>
          <c:order val="0"/>
          <c:tx>
            <c:strRef>
              <c:f>'Trend Analysis of Stock'!$F$1:$F$2</c:f>
              <c:strCache>
                <c:ptCount val="2"/>
                <c:pt idx="0">
                  <c:v>Trend Analysis</c:v>
                </c:pt>
                <c:pt idx="1">
                  <c:v>Closing Stock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'Trend Analysis of Stock'!$E$3:$E$20</c:f>
              <c:numCache>
                <c:formatCode>mmm\-yy</c:formatCode>
                <c:ptCount val="18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  <c:pt idx="12">
                  <c:v>45717</c:v>
                </c:pt>
                <c:pt idx="13">
                  <c:v>45748</c:v>
                </c:pt>
                <c:pt idx="14">
                  <c:v>45778</c:v>
                </c:pt>
                <c:pt idx="15">
                  <c:v>45809</c:v>
                </c:pt>
                <c:pt idx="16">
                  <c:v>45839</c:v>
                </c:pt>
                <c:pt idx="17">
                  <c:v>45870</c:v>
                </c:pt>
              </c:numCache>
            </c:numRef>
          </c:cat>
          <c:val>
            <c:numRef>
              <c:f>'Trend Analysis of Stock'!$F$3:$F$20</c:f>
              <c:numCache>
                <c:formatCode>0.00</c:formatCode>
                <c:ptCount val="18"/>
                <c:pt idx="0">
                  <c:v>505.76250000000005</c:v>
                </c:pt>
                <c:pt idx="1">
                  <c:v>601.53250000000003</c:v>
                </c:pt>
                <c:pt idx="2">
                  <c:v>599.55227272727268</c:v>
                </c:pt>
                <c:pt idx="3">
                  <c:v>674.62894736842111</c:v>
                </c:pt>
                <c:pt idx="4">
                  <c:v>714.73863636363649</c:v>
                </c:pt>
                <c:pt idx="5">
                  <c:v>700.57142857142856</c:v>
                </c:pt>
                <c:pt idx="6">
                  <c:v>746.53333333333342</c:v>
                </c:pt>
                <c:pt idx="7">
                  <c:v>690.64318181818203</c:v>
                </c:pt>
                <c:pt idx="8">
                  <c:v>694.43421052631561</c:v>
                </c:pt>
                <c:pt idx="9">
                  <c:v>663.20476190476199</c:v>
                </c:pt>
                <c:pt idx="10">
                  <c:v>558.59347826086946</c:v>
                </c:pt>
                <c:pt idx="11">
                  <c:v>466.89499999999998</c:v>
                </c:pt>
                <c:pt idx="12">
                  <c:v>500.43333333333328</c:v>
                </c:pt>
                <c:pt idx="13">
                  <c:v>588.12002508082151</c:v>
                </c:pt>
                <c:pt idx="14">
                  <c:v>582.99555973709903</c:v>
                </c:pt>
                <c:pt idx="15">
                  <c:v>577.70027888191817</c:v>
                </c:pt>
                <c:pt idx="16">
                  <c:v>572.57581353819569</c:v>
                </c:pt>
                <c:pt idx="17">
                  <c:v>567.28053268301574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39-41F3-83E7-5781D648CB6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25796991"/>
        <c:axId val="518555263"/>
      </c:lineChart>
      <c:dateAx>
        <c:axId val="5257969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55263"/>
        <c:crosses val="autoZero"/>
        <c:auto val="1"/>
        <c:lblOffset val="100"/>
        <c:baseTimeUnit val="months"/>
      </c:dateAx>
      <c:valAx>
        <c:axId val="518555263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2579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 of Volume'!$F$1:$F$2</c:f>
              <c:strCache>
                <c:ptCount val="2"/>
                <c:pt idx="0">
                  <c:v>Trend Analysis</c:v>
                </c:pt>
                <c:pt idx="1">
                  <c:v>Volume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'Trend Analysis of Volume'!$E$3:$E$20</c:f>
              <c:numCache>
                <c:formatCode>mmm\-yy</c:formatCode>
                <c:ptCount val="18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  <c:pt idx="12">
                  <c:v>45717</c:v>
                </c:pt>
                <c:pt idx="13">
                  <c:v>45748</c:v>
                </c:pt>
                <c:pt idx="14">
                  <c:v>45778</c:v>
                </c:pt>
                <c:pt idx="15">
                  <c:v>45809</c:v>
                </c:pt>
                <c:pt idx="16">
                  <c:v>45839</c:v>
                </c:pt>
                <c:pt idx="17">
                  <c:v>45870</c:v>
                </c:pt>
              </c:numCache>
            </c:numRef>
          </c:cat>
          <c:val>
            <c:numRef>
              <c:f>'Trend Analysis of Volume'!$F$3:$F$20</c:f>
              <c:numCache>
                <c:formatCode>0.00</c:formatCode>
                <c:ptCount val="18"/>
                <c:pt idx="0" formatCode="General">
                  <c:v>2637304.375</c:v>
                </c:pt>
                <c:pt idx="1">
                  <c:v>4788333.25</c:v>
                </c:pt>
                <c:pt idx="2" formatCode="General">
                  <c:v>7082898.2727272725</c:v>
                </c:pt>
                <c:pt idx="3" formatCode="General">
                  <c:v>4269067.4210526319</c:v>
                </c:pt>
                <c:pt idx="4" formatCode="General">
                  <c:v>2643279.1818181798</c:v>
                </c:pt>
                <c:pt idx="5" formatCode="General">
                  <c:v>2215317.7619047621</c:v>
                </c:pt>
                <c:pt idx="6" formatCode="General">
                  <c:v>3262889.6666666698</c:v>
                </c:pt>
                <c:pt idx="7" formatCode="General">
                  <c:v>2139249.0909090908</c:v>
                </c:pt>
                <c:pt idx="8" formatCode="General">
                  <c:v>3120537.8421052601</c:v>
                </c:pt>
                <c:pt idx="9" formatCode="General">
                  <c:v>3191871.7142857099</c:v>
                </c:pt>
                <c:pt idx="10" formatCode="General">
                  <c:v>4659195.1304347804</c:v>
                </c:pt>
                <c:pt idx="11" formatCode="General">
                  <c:v>6541046.6500000004</c:v>
                </c:pt>
                <c:pt idx="12" formatCode="General">
                  <c:v>5770622.777777778</c:v>
                </c:pt>
                <c:pt idx="13" formatCode="General">
                  <c:v>4616762.075756222</c:v>
                </c:pt>
                <c:pt idx="14" formatCode="General">
                  <c:v>4700326.6126742363</c:v>
                </c:pt>
                <c:pt idx="15" formatCode="General">
                  <c:v>4786676.6341561675</c:v>
                </c:pt>
                <c:pt idx="16" formatCode="General">
                  <c:v>4870241.1710741818</c:v>
                </c:pt>
                <c:pt idx="17" formatCode="General">
                  <c:v>4956591.1925561279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56-403C-A5D1-B4EDB7EF97E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27032127"/>
        <c:axId val="518561919"/>
      </c:lineChart>
      <c:dateAx>
        <c:axId val="52703212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61919"/>
        <c:crosses val="autoZero"/>
        <c:auto val="1"/>
        <c:lblOffset val="100"/>
        <c:baseTimeUnit val="months"/>
      </c:dateAx>
      <c:valAx>
        <c:axId val="518561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03212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ROI For Stocks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ROI For Stocks</a:t>
          </a:r>
        </a:p>
      </cx:txPr>
    </cx:title>
    <cx:plotArea>
      <cx:plotAreaRegion>
        <cx:series layoutId="waterfall" uniqueId="{76814222-E139-42C7-AC3B-A70EF3F6BD50}">
          <cx:tx>
            <cx:txData>
              <cx:f>_xlchart.v1.1</cx:f>
              <cx:v>ROI per month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bg1"/>
                    </a:solidFill>
                  </a:defRPr>
                </a:pPr>
                <a:endParaRPr lang="en-US" sz="900" b="1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 hidden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1</xdr:row>
      <xdr:rowOff>0</xdr:rowOff>
    </xdr:from>
    <xdr:to>
      <xdr:col>18</xdr:col>
      <xdr:colOff>228600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E8F716-0031-4607-90BB-7887B70F6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</xdr:colOff>
      <xdr:row>1</xdr:row>
      <xdr:rowOff>4762</xdr:rowOff>
    </xdr:from>
    <xdr:to>
      <xdr:col>20</xdr:col>
      <xdr:colOff>523875</xdr:colOff>
      <xdr:row>15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6561F8-E41C-411F-95CF-D611E949F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104776</xdr:colOff>
      <xdr:row>1</xdr:row>
      <xdr:rowOff>180975</xdr:rowOff>
    </xdr:from>
    <xdr:to>
      <xdr:col>18</xdr:col>
      <xdr:colOff>428626</xdr:colOff>
      <xdr:row>16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A48D157-6DBD-4363-B235-A388D006B3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9901" y="371475"/>
              <a:ext cx="58102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R248" totalsRowShown="0">
  <autoFilter ref="A1:R248" xr:uid="{00000000-0009-0000-0100-000003000000}"/>
  <tableColumns count="18">
    <tableColumn id="1" xr3:uid="{00000000-0010-0000-0000-000001000000}" name="Date " dataDxfId="68"/>
    <tableColumn id="2" xr3:uid="{00000000-0010-0000-0000-000002000000}" name="Column1" dataDxfId="67">
      <calculatedColumnFormula>TEXT(A2,"mmm"&amp;"yyy")</calculatedColumnFormula>
    </tableColumn>
    <tableColumn id="3" xr3:uid="{00000000-0010-0000-0000-000003000000}" name="Day"/>
    <tableColumn id="4" xr3:uid="{00000000-0010-0000-0000-000004000000}" name="Month"/>
    <tableColumn id="5" xr3:uid="{00000000-0010-0000-0000-000005000000}" name="Quarter"/>
    <tableColumn id="6" xr3:uid="{00000000-0010-0000-0000-000006000000}" name="Year"/>
    <tableColumn id="7" xr3:uid="{00000000-0010-0000-0000-000007000000}" name="series "/>
    <tableColumn id="8" xr3:uid="{00000000-0010-0000-0000-000008000000}" name="OPEN "/>
    <tableColumn id="9" xr3:uid="{00000000-0010-0000-0000-000009000000}" name="HIGH "/>
    <tableColumn id="10" xr3:uid="{00000000-0010-0000-0000-00000A000000}" name="LOW "/>
    <tableColumn id="11" xr3:uid="{00000000-0010-0000-0000-00000B000000}" name="PREV. CLOSE "/>
    <tableColumn id="12" xr3:uid="{00000000-0010-0000-0000-00000C000000}" name="ltp "/>
    <tableColumn id="13" xr3:uid="{00000000-0010-0000-0000-00000D000000}" name="close "/>
    <tableColumn id="14" xr3:uid="{00000000-0010-0000-0000-00000E000000}" name="vwap "/>
    <tableColumn id="15" xr3:uid="{00000000-0010-0000-0000-00000F000000}" name="52W H "/>
    <tableColumn id="16" xr3:uid="{00000000-0010-0000-0000-000010000000}" name="52W L "/>
    <tableColumn id="17" xr3:uid="{00000000-0010-0000-0000-000011000000}" name="VOLUME "/>
    <tableColumn id="18" xr3:uid="{00000000-0010-0000-0000-000012000000}" name="No of trades 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38CC55-F53E-4303-8A1E-0DB167775FC1}" name="Table2" displayName="Table2" ref="A1:B248" totalsRowShown="0">
  <autoFilter ref="A1:B248" xr:uid="{81B3FBBE-2C0B-40D4-839A-1F939DEC7CEF}"/>
  <tableColumns count="2">
    <tableColumn id="1" xr3:uid="{CBBDA967-110F-4C54-B68F-78A7AA8D99FD}" name="Date " dataDxfId="66"/>
    <tableColumn id="2" xr3:uid="{279C827F-FECB-499F-BF17-904AF91E7382}" name="close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B248" totalsRowShown="0">
  <autoFilter ref="A1:B248" xr:uid="{00000000-0009-0000-0100-000001000000}"/>
  <tableColumns count="2">
    <tableColumn id="1" xr3:uid="{00000000-0010-0000-0100-000001000000}" name="Date " dataDxfId="65"/>
    <tableColumn id="2" xr3:uid="{00000000-0010-0000-0100-000002000000}" name="VOLUME 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6236DB-7F21-4A35-9E84-CE3B9FD6C947}" name="Table5" displayName="Table5" ref="A1:D248" totalsRowShown="0">
  <autoFilter ref="A1:D248" xr:uid="{8EF5FD11-C3C4-49D7-84B1-8F2D4689568E}"/>
  <tableColumns count="4">
    <tableColumn id="1" xr3:uid="{86E48FEB-A4B8-4B2E-93D5-139933EEB1D0}" name="Date " dataDxfId="64"/>
    <tableColumn id="2" xr3:uid="{C57855C9-36C0-4731-97AD-DEF516787729}" name="OPEN "/>
    <tableColumn id="3" xr3:uid="{B8C27B8D-0743-4B6D-A476-AB4EE91B2B4C}" name="close "/>
    <tableColumn id="4" xr3:uid="{903C7F19-EC88-459C-8B88-EF68E47BF1F2}" name="ROI for Stock" dataDxfId="63">
      <calculatedColumnFormula>((C2-B2)+2)/B2*100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CF3CBD-9619-4296-9AFA-D10042313E86}" name="Table4" displayName="Table4" ref="A1:B248" totalsRowShown="0" headerRowDxfId="61">
  <autoFilter ref="A1:B248" xr:uid="{D33B9835-B560-4BE4-9D28-4A50D8B33EF3}"/>
  <tableColumns count="2">
    <tableColumn id="1" xr3:uid="{34F2072F-AF40-48D3-AF2C-9C7721D7A057}" name="Date " dataDxfId="62"/>
    <tableColumn id="2" xr3:uid="{A6C2CA9D-E60C-46CF-A35E-D602A67EBB09}" name="close 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D8C617-13B9-4AD7-B6E4-EB95FA97AEFE}" name="Table6" displayName="Table6" ref="A1:C248" totalsRowShown="0" headerRowDxfId="54" headerRowBorderDxfId="59" tableBorderDxfId="60" totalsRowBorderDxfId="58">
  <autoFilter ref="A1:C248" xr:uid="{B9F38B42-3ABC-4865-BE05-319F718B2F22}"/>
  <tableColumns count="3">
    <tableColumn id="1" xr3:uid="{462DB6A7-F387-4957-938B-E3139ED55F28}" name="Date " dataDxfId="57"/>
    <tableColumn id="2" xr3:uid="{5D8712C3-5A5B-45ED-9782-F4945F0C46A0}" name="close " dataDxfId="56"/>
    <tableColumn id="3" xr3:uid="{3A820784-2BF5-4E88-B80E-9CE52A3074BA}" name="Exponential Moving Average(EMA) 10 Days" dataDxfId="5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7FFDA65-491C-420D-8258-211A27653B0A}" name="Table7" displayName="Table7" ref="A1:I248" totalsRowShown="0" headerRowDxfId="0" dataDxfId="41" headerRowBorderDxfId="52" tableBorderDxfId="53" totalsRowBorderDxfId="51">
  <autoFilter ref="A1:I248" xr:uid="{4404A12E-E612-4452-80C7-7E7DF3F2D333}"/>
  <tableColumns count="9">
    <tableColumn id="1" xr3:uid="{97E1D3C8-9728-4ADB-AE6B-7B3A243D5600}" name="Date " dataDxfId="50"/>
    <tableColumn id="2" xr3:uid="{B076B626-2E1E-4227-9E8C-63E90F6E039E}" name="close " dataDxfId="49"/>
    <tableColumn id="3" xr3:uid="{00CA0264-CC64-4A97-BA44-C7479B98089C}" name="change" dataDxfId="48"/>
    <tableColumn id="4" xr3:uid="{4EB4370A-812B-47F0-AF59-86F104B2B42D}" name="Gain" dataDxfId="47"/>
    <tableColumn id="5" xr3:uid="{6FDAACEE-0473-4FD6-BB24-BF7DFCD00974}" name="Loss" dataDxfId="46"/>
    <tableColumn id="6" xr3:uid="{93A2CB36-A09E-4E99-9577-E0503E46C2BD}" name="AVG Gain" dataDxfId="45"/>
    <tableColumn id="7" xr3:uid="{84F210D1-9755-40E5-9D50-FA01385068A3}" name="AVG Loss" dataDxfId="44"/>
    <tableColumn id="8" xr3:uid="{03952EA6-A935-4186-ABC7-8A918187CA4A}" name="RS" dataDxfId="43"/>
    <tableColumn id="9" xr3:uid="{188A3FAD-7A26-474C-8698-B7C403C82FAD}" name="RSI" dataDxfId="42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91470E-CE54-4890-AED7-CD1E55503AAA}" name="Table8" displayName="Table8" ref="A1:G248" totalsRowShown="0" headerRowDxfId="30" headerRowBorderDxfId="39" tableBorderDxfId="40" totalsRowBorderDxfId="38">
  <autoFilter ref="A1:G248" xr:uid="{1377BB88-79B4-4A07-94C1-9668E2DF9B70}"/>
  <tableColumns count="7">
    <tableColumn id="1" xr3:uid="{9CDA4D43-5D79-4367-B007-AEEE8D218C00}" name="Date " dataDxfId="37"/>
    <tableColumn id="2" xr3:uid="{5DD235B8-DB93-4857-97A2-5B26E3F51A47}" name="close " dataDxfId="36"/>
    <tableColumn id="3" xr3:uid="{E677F72F-5DB2-4825-83E0-B839FBF38052}" name="12 Day EMA" dataDxfId="35"/>
    <tableColumn id="4" xr3:uid="{1E9CF0F7-0EAD-498D-8DE1-07AB9976658F}" name="26 day EMA" dataDxfId="34"/>
    <tableColumn id="5" xr3:uid="{3F71ECEE-3CFC-43A9-A609-B9E77EBEDC53}" name="MACD line" dataDxfId="33"/>
    <tableColumn id="6" xr3:uid="{41A4D23A-FDB6-4C7D-ADC8-76B5AD68045C}" name="Signal line" dataDxfId="32"/>
    <tableColumn id="7" xr3:uid="{4BC21078-5D22-4B01-9228-B6DE2B631DEA}" name="Histogram" dataDxfId="3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AB28599-8769-4396-88EF-30E0D52F8041}" name="Table9" displayName="Table9" ref="A1:F73" totalsRowShown="0" headerRowDxfId="29">
  <autoFilter ref="A1:F73" xr:uid="{405AB07E-D920-4A8C-B822-8E191F59D7C5}"/>
  <tableColumns count="6">
    <tableColumn id="1" xr3:uid="{E26803A3-67CD-40D3-B549-249474FADDA0}" name="Balance Sheet of JSW Energy (in Rs. Cr.)"/>
    <tableColumn id="2" xr3:uid="{860E7124-4F76-4857-A3E9-D0B6459AACA8}" name="Mar-24"/>
    <tableColumn id="3" xr3:uid="{867E9159-2606-4CCB-826F-151E6779899A}" name="Mar-23"/>
    <tableColumn id="4" xr3:uid="{B397A124-A339-4541-B665-884178A21DF2}" name="Mar-22"/>
    <tableColumn id="5" xr3:uid="{5669AC89-583E-48DC-8BE9-67090042ADC2}" name="Mar-21"/>
    <tableColumn id="6" xr3:uid="{44E7A1C8-A5FF-48CF-85AB-EEA09600210D}" name="Mar-2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B817C6E-60EA-4F79-9824-85AA835FF1CE}" name="Table11" displayName="Table11" ref="A1:F44" totalsRowShown="0" headerRowDxfId="28">
  <autoFilter ref="A1:F44" xr:uid="{C84B15C4-6763-4058-BCAC-C103B8EDBE67}"/>
  <tableColumns count="6">
    <tableColumn id="1" xr3:uid="{528E7BBE-69FA-4C52-BD09-8CECC8AD7AAE}" name="JSW Energy Income Statement"/>
    <tableColumn id="2" xr3:uid="{587D4A7B-8925-4061-B407-08E83EB7C825}" name="Mar 24"/>
    <tableColumn id="3" xr3:uid="{65A815B0-47AE-42D7-8EA2-DC96CCD60C74}" name="Mar-23"/>
    <tableColumn id="4" xr3:uid="{525FC28F-6530-4242-ABEE-352E67CB7478}" name="Mar-22"/>
    <tableColumn id="5" xr3:uid="{82E079BB-BDD2-4586-8D2F-4CA71E8FE838}" name="Mar-21"/>
    <tableColumn id="6" xr3:uid="{404E33F1-F84C-4AA8-BDEE-4D0624329876}" name="Mar-2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C9019BA-E2D2-46F4-BAC1-BA9BAE68BBC6}" name="Table13" displayName="Table13" ref="A1:F44" totalsRowShown="0" headerRowDxfId="20" dataDxfId="21">
  <autoFilter ref="A1:F44" xr:uid="{5D75B956-75E4-4AD2-9323-8CC5E4F96529}"/>
  <tableColumns count="6">
    <tableColumn id="1" xr3:uid="{9051DBCA-3762-4959-939B-602B8AA0AFF7}" name="Column1" dataDxfId="27"/>
    <tableColumn id="2" xr3:uid="{BEDE99D3-680F-410F-A8A3-7022711F4912}" name="Column2" dataDxfId="26"/>
    <tableColumn id="3" xr3:uid="{59749E89-02A3-456C-B347-1F1B98CD1870}" name="Column3" dataDxfId="25"/>
    <tableColumn id="4" xr3:uid="{D30757A8-81DE-473B-B469-8AB7B4F18D8C}" name="Column4" dataDxfId="24"/>
    <tableColumn id="5" xr3:uid="{F11930C0-F2E5-4D49-96DE-103E4E59CEFF}" name="Column5" dataDxfId="23"/>
    <tableColumn id="6" xr3:uid="{7B2AC8F6-9C9C-486F-A48C-2D01C5BEA973}" name="Column6" dataDxfId="2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7781113-F426-4CC0-B213-4744996E7B33}" name="Table14" displayName="Table14" ref="A1:F66" totalsRowShown="0" headerRowDxfId="12" dataDxfId="13">
  <autoFilter ref="A1:F66" xr:uid="{4792CA52-1AC9-4BB2-AE92-3424143C0E7A}"/>
  <tableColumns count="6">
    <tableColumn id="1" xr3:uid="{70078984-542F-411F-83C6-96A66190C93E}" name="Balance Sheet of JSW Energy (in Rs. Cr.)" dataDxfId="19"/>
    <tableColumn id="2" xr3:uid="{272E2289-691F-421F-ACEC-259CD46FA866}" name="Mar-24" dataDxfId="18"/>
    <tableColumn id="3" xr3:uid="{5E76A21E-3732-4F97-9878-43059A37E7B9}" name="Mar-23" dataDxfId="17"/>
    <tableColumn id="4" xr3:uid="{EC142ED6-81B4-44FC-AD21-286A3136015D}" name="Mar-22" dataDxfId="16"/>
    <tableColumn id="5" xr3:uid="{707CFB0B-D491-4D81-BEF1-5F0DA8F24F45}" name="Mar-21" dataDxfId="15"/>
    <tableColumn id="6" xr3:uid="{2413BB14-0482-48FF-9F4D-29F77FE7F1A2}" name="Mar-20" dataDxfId="1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B29C56E-D159-42BF-922D-C3A3576A44DD}" name="Table16" displayName="Table16" ref="A1:C44" totalsRowShown="0" headerRowDxfId="11">
  <autoFilter ref="A1:C44" xr:uid="{81CACFC9-1F91-421E-ADB3-1B05CB0B835A}"/>
  <tableColumns count="3">
    <tableColumn id="1" xr3:uid="{FD025643-0F1E-45D1-B665-4770C36FCCB9}" name="Column1"/>
    <tableColumn id="2" xr3:uid="{B281EE80-AE30-46B8-A870-972CEBCF5C51}" name="Column2"/>
    <tableColumn id="3" xr3:uid="{86E603FD-7AE7-438F-BC10-B9CBFA4B9DF7}" name="Column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5EF4201-EB8C-4C22-B692-0E840DAF3DB2}" name="Table17" displayName="Table17" ref="A1:F44" totalsRowShown="0" headerRowDxfId="2">
  <autoFilter ref="A1:F44" xr:uid="{3B7EE683-3C5F-464B-9D07-AC6C3713B028}"/>
  <tableColumns count="6">
    <tableColumn id="1" xr3:uid="{BF892E6C-2B91-4950-9765-65EACDCA76DC}" name="Column1"/>
    <tableColumn id="2" xr3:uid="{E822DD58-0E76-419F-8B0F-B65599865630}" name="Column2"/>
    <tableColumn id="3" xr3:uid="{383BB64D-8D78-4D09-AEF9-FFC2DCA8D796}" name="Column3"/>
    <tableColumn id="4" xr3:uid="{1CC7D0AC-060D-4AAE-9E49-F1DB768FF830}" name="Column4"/>
    <tableColumn id="5" xr3:uid="{33A52802-945C-451D-A574-7BC64F5F1A17}" name="Column5"/>
    <tableColumn id="6" xr3:uid="{13B654F8-1298-4DFA-AB23-B19550C31222}" name="Column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B2DFEF3-D5B1-4BF1-ABE8-C93D2322010F}" name="Table18" displayName="Table18" ref="A1:F66" totalsRowShown="0" headerRowDxfId="1">
  <autoFilter ref="A1:F66" xr:uid="{413CBD82-BF60-4299-AA8C-B9DA10E38D08}"/>
  <tableColumns count="6">
    <tableColumn id="1" xr3:uid="{C07B0447-44B5-40B2-9E66-50991A11C765}" name="Balance Sheet of JSW Energy (in Rs. Cr.)"/>
    <tableColumn id="2" xr3:uid="{DF1FA07B-DC3C-4965-AF3F-DC83D600014A}" name="Mar-24"/>
    <tableColumn id="3" xr3:uid="{2A300814-54CA-4B2E-B477-97DD93D4665B}" name="Mar-23"/>
    <tableColumn id="4" xr3:uid="{15A6B8FB-DFF3-4B46-954E-360CF45235B5}" name="Mar-22"/>
    <tableColumn id="5" xr3:uid="{4C4502C1-9A48-4549-BD8F-129043BECE63}" name="Mar-21"/>
    <tableColumn id="6" xr3:uid="{7EAEA320-F4AA-4988-80E0-DA8108FCB646}" name="Mar-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8"/>
  <sheetViews>
    <sheetView tabSelected="1" workbookViewId="0">
      <selection activeCell="N3" sqref="N3"/>
    </sheetView>
  </sheetViews>
  <sheetFormatPr defaultRowHeight="15" x14ac:dyDescent="0.25"/>
  <cols>
    <col min="1" max="1" width="10.140625" bestFit="1" customWidth="1"/>
    <col min="2" max="2" width="11" customWidth="1"/>
    <col min="3" max="3" width="11.42578125" bestFit="1" customWidth="1"/>
    <col min="5" max="5" width="10" customWidth="1"/>
    <col min="8" max="8" width="11" customWidth="1"/>
    <col min="10" max="10" width="9.28515625" bestFit="1" customWidth="1"/>
    <col min="11" max="11" width="14.5703125" customWidth="1"/>
    <col min="15" max="15" width="9.28515625" customWidth="1"/>
    <col min="17" max="17" width="11.42578125" customWidth="1"/>
    <col min="18" max="18" width="14.42578125" customWidth="1"/>
  </cols>
  <sheetData>
    <row r="1" spans="1:18" x14ac:dyDescent="0.25">
      <c r="A1" t="s">
        <v>0</v>
      </c>
      <c r="B1" t="s">
        <v>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>
        <v>45729</v>
      </c>
      <c r="B2" s="1" t="str">
        <f>TEXT(A2,"mmm"&amp;"yyy")</f>
        <v>Mar2025</v>
      </c>
      <c r="C2" t="s">
        <v>17</v>
      </c>
      <c r="D2" t="s">
        <v>18</v>
      </c>
      <c r="E2" t="s">
        <v>19</v>
      </c>
      <c r="F2">
        <v>2025</v>
      </c>
      <c r="G2" t="s">
        <v>20</v>
      </c>
      <c r="H2">
        <v>519.65</v>
      </c>
      <c r="I2">
        <v>523.65</v>
      </c>
      <c r="J2">
        <v>508.1</v>
      </c>
      <c r="K2">
        <v>515.20000000000005</v>
      </c>
      <c r="L2">
        <v>513.54999999999995</v>
      </c>
      <c r="M2">
        <v>514.1</v>
      </c>
      <c r="N2">
        <v>516.04</v>
      </c>
      <c r="O2">
        <v>804.9</v>
      </c>
      <c r="P2">
        <v>418.75</v>
      </c>
      <c r="Q2">
        <v>4303396</v>
      </c>
      <c r="R2">
        <v>69870</v>
      </c>
    </row>
    <row r="3" spans="1:18" x14ac:dyDescent="0.25">
      <c r="A3" s="1">
        <v>45728</v>
      </c>
      <c r="B3" s="1" t="str">
        <f>TEXT(A3,"mmm"&amp;"yyy")</f>
        <v>Mar2025</v>
      </c>
      <c r="C3" t="s">
        <v>21</v>
      </c>
      <c r="D3" t="s">
        <v>18</v>
      </c>
      <c r="E3" t="s">
        <v>19</v>
      </c>
      <c r="F3">
        <v>2025</v>
      </c>
      <c r="G3" t="s">
        <v>20</v>
      </c>
      <c r="H3">
        <v>517</v>
      </c>
      <c r="I3">
        <v>523.85</v>
      </c>
      <c r="J3">
        <v>506.3</v>
      </c>
      <c r="K3">
        <v>513.75</v>
      </c>
      <c r="L3">
        <v>518</v>
      </c>
      <c r="M3">
        <v>515.20000000000005</v>
      </c>
      <c r="N3">
        <v>515.16999999999996</v>
      </c>
      <c r="O3">
        <v>804.9</v>
      </c>
      <c r="P3">
        <v>418.75</v>
      </c>
      <c r="Q3">
        <v>4974269</v>
      </c>
      <c r="R3">
        <v>67643</v>
      </c>
    </row>
    <row r="4" spans="1:18" x14ac:dyDescent="0.25">
      <c r="A4" s="1">
        <v>45727</v>
      </c>
      <c r="B4" s="1" t="str">
        <f>TEXT(A4,"mmm"&amp;"yyy")</f>
        <v>Mar2025</v>
      </c>
      <c r="C4" t="s">
        <v>22</v>
      </c>
      <c r="D4" t="s">
        <v>18</v>
      </c>
      <c r="E4" t="s">
        <v>19</v>
      </c>
      <c r="F4">
        <v>2025</v>
      </c>
      <c r="G4" t="s">
        <v>20</v>
      </c>
      <c r="H4">
        <v>501</v>
      </c>
      <c r="I4">
        <v>519.5</v>
      </c>
      <c r="J4">
        <v>498.1</v>
      </c>
      <c r="K4">
        <v>505.35</v>
      </c>
      <c r="L4">
        <v>516.25</v>
      </c>
      <c r="M4">
        <v>513.75</v>
      </c>
      <c r="N4">
        <v>512.6</v>
      </c>
      <c r="O4">
        <v>804.9</v>
      </c>
      <c r="P4">
        <v>418.75</v>
      </c>
      <c r="Q4">
        <v>6225817</v>
      </c>
      <c r="R4">
        <v>91766</v>
      </c>
    </row>
    <row r="5" spans="1:18" x14ac:dyDescent="0.25">
      <c r="A5" s="1">
        <v>45726</v>
      </c>
      <c r="B5" s="1" t="str">
        <f>TEXT(A5,"mmm"&amp;"yyy")</f>
        <v>Mar2025</v>
      </c>
      <c r="C5" t="s">
        <v>23</v>
      </c>
      <c r="D5" t="s">
        <v>18</v>
      </c>
      <c r="E5" t="s">
        <v>19</v>
      </c>
      <c r="F5">
        <v>2025</v>
      </c>
      <c r="G5" t="s">
        <v>20</v>
      </c>
      <c r="H5">
        <v>491</v>
      </c>
      <c r="I5">
        <v>514.4</v>
      </c>
      <c r="J5">
        <v>490.25</v>
      </c>
      <c r="K5">
        <v>491.7</v>
      </c>
      <c r="L5">
        <v>505.3</v>
      </c>
      <c r="M5">
        <v>505.35</v>
      </c>
      <c r="N5">
        <v>507.56</v>
      </c>
      <c r="O5">
        <v>804.9</v>
      </c>
      <c r="P5">
        <v>418.75</v>
      </c>
      <c r="Q5">
        <v>9854493</v>
      </c>
      <c r="R5">
        <v>117087</v>
      </c>
    </row>
    <row r="6" spans="1:18" x14ac:dyDescent="0.25">
      <c r="A6" s="1">
        <v>45723</v>
      </c>
      <c r="B6" s="1" t="str">
        <f>TEXT(A6,"mmm"&amp;"yyy")</f>
        <v>Mar2025</v>
      </c>
      <c r="C6" t="s">
        <v>24</v>
      </c>
      <c r="D6" t="s">
        <v>18</v>
      </c>
      <c r="E6" t="s">
        <v>19</v>
      </c>
      <c r="F6">
        <v>2025</v>
      </c>
      <c r="G6" t="s">
        <v>20</v>
      </c>
      <c r="H6">
        <v>498.05</v>
      </c>
      <c r="I6">
        <v>506.35</v>
      </c>
      <c r="J6">
        <v>486.25</v>
      </c>
      <c r="K6">
        <v>499.6</v>
      </c>
      <c r="L6">
        <v>491.25</v>
      </c>
      <c r="M6">
        <v>491.7</v>
      </c>
      <c r="N6">
        <v>495.71</v>
      </c>
      <c r="O6">
        <v>804.9</v>
      </c>
      <c r="P6">
        <v>418.75</v>
      </c>
      <c r="Q6">
        <v>4329758</v>
      </c>
      <c r="R6">
        <v>66495</v>
      </c>
    </row>
    <row r="7" spans="1:18" x14ac:dyDescent="0.25">
      <c r="A7" s="1">
        <v>45722</v>
      </c>
      <c r="B7" s="1" t="str">
        <f>TEXT(A7,"mmm"&amp;"yyy")</f>
        <v>Mar2025</v>
      </c>
      <c r="C7" t="s">
        <v>17</v>
      </c>
      <c r="D7" t="s">
        <v>18</v>
      </c>
      <c r="E7" t="s">
        <v>19</v>
      </c>
      <c r="F7">
        <v>2025</v>
      </c>
      <c r="G7" t="s">
        <v>20</v>
      </c>
      <c r="H7">
        <v>509.5</v>
      </c>
      <c r="I7">
        <v>517</v>
      </c>
      <c r="J7">
        <v>494.6</v>
      </c>
      <c r="K7">
        <v>509.1</v>
      </c>
      <c r="L7">
        <v>498.4</v>
      </c>
      <c r="M7">
        <v>499.6</v>
      </c>
      <c r="N7">
        <v>502.29</v>
      </c>
      <c r="O7">
        <v>804.9</v>
      </c>
      <c r="P7">
        <v>418.75</v>
      </c>
      <c r="Q7">
        <v>4847592</v>
      </c>
      <c r="R7">
        <v>80445</v>
      </c>
    </row>
    <row r="8" spans="1:18" x14ac:dyDescent="0.25">
      <c r="A8" s="1">
        <v>45721</v>
      </c>
      <c r="B8" s="1" t="str">
        <f>TEXT(A8,"mmm"&amp;"yyy")</f>
        <v>Mar2025</v>
      </c>
      <c r="C8" t="s">
        <v>21</v>
      </c>
      <c r="D8" t="s">
        <v>18</v>
      </c>
      <c r="E8" t="s">
        <v>19</v>
      </c>
      <c r="F8">
        <v>2025</v>
      </c>
      <c r="G8" t="s">
        <v>20</v>
      </c>
      <c r="H8">
        <v>479.25</v>
      </c>
      <c r="I8">
        <v>514.70000000000005</v>
      </c>
      <c r="J8">
        <v>479.25</v>
      </c>
      <c r="K8">
        <v>481.25</v>
      </c>
      <c r="L8">
        <v>508.95</v>
      </c>
      <c r="M8">
        <v>509.1</v>
      </c>
      <c r="N8">
        <v>501.46</v>
      </c>
      <c r="O8">
        <v>804.9</v>
      </c>
      <c r="P8">
        <v>418.75</v>
      </c>
      <c r="Q8">
        <v>7368531</v>
      </c>
      <c r="R8">
        <v>91435</v>
      </c>
    </row>
    <row r="9" spans="1:18" x14ac:dyDescent="0.25">
      <c r="A9" s="1">
        <v>45720</v>
      </c>
      <c r="B9" s="1" t="str">
        <f>TEXT(A9,"mmm"&amp;"yyy")</f>
        <v>Mar2025</v>
      </c>
      <c r="C9" t="s">
        <v>22</v>
      </c>
      <c r="D9" t="s">
        <v>18</v>
      </c>
      <c r="E9" t="s">
        <v>19</v>
      </c>
      <c r="F9">
        <v>2025</v>
      </c>
      <c r="G9" t="s">
        <v>20</v>
      </c>
      <c r="H9">
        <v>471.5</v>
      </c>
      <c r="I9">
        <v>485.35</v>
      </c>
      <c r="J9">
        <v>466.55</v>
      </c>
      <c r="K9">
        <v>473.85</v>
      </c>
      <c r="L9">
        <v>481.4</v>
      </c>
      <c r="M9">
        <v>481.25</v>
      </c>
      <c r="N9">
        <v>476.96</v>
      </c>
      <c r="O9">
        <v>804.9</v>
      </c>
      <c r="P9">
        <v>418.75</v>
      </c>
      <c r="Q9">
        <v>4501589</v>
      </c>
      <c r="R9">
        <v>74512</v>
      </c>
    </row>
    <row r="10" spans="1:18" x14ac:dyDescent="0.25">
      <c r="A10" s="1">
        <v>45719</v>
      </c>
      <c r="B10" s="1" t="str">
        <f>TEXT(A10,"mmm"&amp;"yyy")</f>
        <v>Mar2025</v>
      </c>
      <c r="C10" t="s">
        <v>23</v>
      </c>
      <c r="D10" t="s">
        <v>18</v>
      </c>
      <c r="E10" t="s">
        <v>19</v>
      </c>
      <c r="F10">
        <v>2025</v>
      </c>
      <c r="G10" t="s">
        <v>20</v>
      </c>
      <c r="H10">
        <v>464.7</v>
      </c>
      <c r="I10">
        <v>477.25</v>
      </c>
      <c r="J10">
        <v>449.25</v>
      </c>
      <c r="K10">
        <v>464.1</v>
      </c>
      <c r="L10">
        <v>474.3</v>
      </c>
      <c r="M10">
        <v>473.85</v>
      </c>
      <c r="N10">
        <v>464.36</v>
      </c>
      <c r="O10">
        <v>804.9</v>
      </c>
      <c r="P10">
        <v>418.75</v>
      </c>
      <c r="Q10">
        <v>5530160</v>
      </c>
      <c r="R10">
        <v>85352</v>
      </c>
    </row>
    <row r="11" spans="1:18" x14ac:dyDescent="0.25">
      <c r="A11" s="1">
        <v>45716</v>
      </c>
      <c r="B11" s="1" t="str">
        <f>TEXT(A11,"mmm"&amp;"yyy")</f>
        <v>Feb2025</v>
      </c>
      <c r="C11" t="s">
        <v>24</v>
      </c>
      <c r="D11" t="s">
        <v>25</v>
      </c>
      <c r="E11" t="s">
        <v>19</v>
      </c>
      <c r="F11">
        <v>2025</v>
      </c>
      <c r="G11" t="s">
        <v>20</v>
      </c>
      <c r="H11">
        <v>453.05</v>
      </c>
      <c r="I11">
        <v>468</v>
      </c>
      <c r="J11">
        <v>442.35</v>
      </c>
      <c r="K11">
        <v>458.8</v>
      </c>
      <c r="L11">
        <v>462.7</v>
      </c>
      <c r="M11">
        <v>464.1</v>
      </c>
      <c r="N11">
        <v>455.55</v>
      </c>
      <c r="O11">
        <v>804.9</v>
      </c>
      <c r="P11">
        <v>418.75</v>
      </c>
      <c r="Q11">
        <v>6930904</v>
      </c>
      <c r="R11">
        <v>83261</v>
      </c>
    </row>
    <row r="12" spans="1:18" x14ac:dyDescent="0.25">
      <c r="A12" s="1">
        <v>45715</v>
      </c>
      <c r="B12" s="1" t="str">
        <f>TEXT(A12,"mmm"&amp;"yyy")</f>
        <v>Feb2025</v>
      </c>
      <c r="C12" t="s">
        <v>17</v>
      </c>
      <c r="D12" t="s">
        <v>25</v>
      </c>
      <c r="E12" t="s">
        <v>19</v>
      </c>
      <c r="F12">
        <v>2025</v>
      </c>
      <c r="G12" t="s">
        <v>20</v>
      </c>
      <c r="H12">
        <v>474.5</v>
      </c>
      <c r="I12">
        <v>476.25</v>
      </c>
      <c r="J12">
        <v>454.25</v>
      </c>
      <c r="K12">
        <v>467.25</v>
      </c>
      <c r="L12">
        <v>458.55</v>
      </c>
      <c r="M12">
        <v>458.8</v>
      </c>
      <c r="N12">
        <v>464.19</v>
      </c>
      <c r="O12">
        <v>804.9</v>
      </c>
      <c r="P12">
        <v>418.75</v>
      </c>
      <c r="Q12">
        <v>3135406</v>
      </c>
      <c r="R12">
        <v>51352</v>
      </c>
    </row>
    <row r="13" spans="1:18" x14ac:dyDescent="0.25">
      <c r="A13" s="1">
        <v>45713</v>
      </c>
      <c r="B13" s="1" t="str">
        <f>TEXT(A13,"mmm"&amp;"yyy")</f>
        <v>Feb2025</v>
      </c>
      <c r="C13" t="s">
        <v>22</v>
      </c>
      <c r="D13" t="s">
        <v>25</v>
      </c>
      <c r="E13" t="s">
        <v>19</v>
      </c>
      <c r="F13">
        <v>2025</v>
      </c>
      <c r="G13" t="s">
        <v>20</v>
      </c>
      <c r="H13">
        <v>482</v>
      </c>
      <c r="I13">
        <v>482.8</v>
      </c>
      <c r="J13">
        <v>466.2</v>
      </c>
      <c r="K13">
        <v>479.7</v>
      </c>
      <c r="L13">
        <v>467</v>
      </c>
      <c r="M13">
        <v>467.25</v>
      </c>
      <c r="N13">
        <v>472.53</v>
      </c>
      <c r="O13">
        <v>804.9</v>
      </c>
      <c r="P13">
        <v>418.75</v>
      </c>
      <c r="Q13">
        <v>3336761</v>
      </c>
      <c r="R13">
        <v>62013</v>
      </c>
    </row>
    <row r="14" spans="1:18" x14ac:dyDescent="0.25">
      <c r="A14" s="1">
        <v>45712</v>
      </c>
      <c r="B14" s="1" t="str">
        <f>TEXT(A14,"mmm"&amp;"yyy")</f>
        <v>Feb2025</v>
      </c>
      <c r="C14" t="s">
        <v>23</v>
      </c>
      <c r="D14" t="s">
        <v>25</v>
      </c>
      <c r="E14" t="s">
        <v>19</v>
      </c>
      <c r="F14">
        <v>2025</v>
      </c>
      <c r="G14" t="s">
        <v>20</v>
      </c>
      <c r="H14">
        <v>494</v>
      </c>
      <c r="I14">
        <v>497.7</v>
      </c>
      <c r="J14">
        <v>478</v>
      </c>
      <c r="K14">
        <v>496.6</v>
      </c>
      <c r="L14">
        <v>480.05</v>
      </c>
      <c r="M14">
        <v>479.7</v>
      </c>
      <c r="N14">
        <v>487.7</v>
      </c>
      <c r="O14">
        <v>804.9</v>
      </c>
      <c r="P14">
        <v>418.75</v>
      </c>
      <c r="Q14">
        <v>4578924</v>
      </c>
      <c r="R14">
        <v>78918</v>
      </c>
    </row>
    <row r="15" spans="1:18" x14ac:dyDescent="0.25">
      <c r="A15" s="1">
        <v>45709</v>
      </c>
      <c r="B15" s="1" t="str">
        <f>TEXT(A15,"mmm"&amp;"yyy")</f>
        <v>Feb2025</v>
      </c>
      <c r="C15" t="s">
        <v>24</v>
      </c>
      <c r="D15" t="s">
        <v>25</v>
      </c>
      <c r="E15" t="s">
        <v>19</v>
      </c>
      <c r="F15">
        <v>2025</v>
      </c>
      <c r="G15" t="s">
        <v>20</v>
      </c>
      <c r="H15">
        <v>474</v>
      </c>
      <c r="I15">
        <v>506.7</v>
      </c>
      <c r="J15">
        <v>473.1</v>
      </c>
      <c r="K15">
        <v>468.55</v>
      </c>
      <c r="L15">
        <v>496</v>
      </c>
      <c r="M15">
        <v>496.6</v>
      </c>
      <c r="N15">
        <v>496.04</v>
      </c>
      <c r="O15">
        <v>804.9</v>
      </c>
      <c r="P15">
        <v>418.75</v>
      </c>
      <c r="Q15">
        <v>25750317</v>
      </c>
      <c r="R15">
        <v>343486</v>
      </c>
    </row>
    <row r="16" spans="1:18" x14ac:dyDescent="0.25">
      <c r="A16" s="1">
        <v>45708</v>
      </c>
      <c r="B16" s="1" t="str">
        <f>TEXT(A16,"mmm"&amp;"yyy")</f>
        <v>Feb2025</v>
      </c>
      <c r="C16" t="s">
        <v>17</v>
      </c>
      <c r="D16" t="s">
        <v>25</v>
      </c>
      <c r="E16" t="s">
        <v>19</v>
      </c>
      <c r="F16">
        <v>2025</v>
      </c>
      <c r="G16" t="s">
        <v>20</v>
      </c>
      <c r="H16">
        <v>450</v>
      </c>
      <c r="I16">
        <v>477.75</v>
      </c>
      <c r="J16">
        <v>448.8</v>
      </c>
      <c r="K16">
        <v>454.85</v>
      </c>
      <c r="L16">
        <v>470</v>
      </c>
      <c r="M16">
        <v>468.55</v>
      </c>
      <c r="N16">
        <v>471.61</v>
      </c>
      <c r="O16">
        <v>804.9</v>
      </c>
      <c r="P16">
        <v>418.75</v>
      </c>
      <c r="Q16">
        <v>7733476</v>
      </c>
      <c r="R16">
        <v>121229</v>
      </c>
    </row>
    <row r="17" spans="1:18" x14ac:dyDescent="0.25">
      <c r="A17" s="1">
        <v>45707</v>
      </c>
      <c r="B17" s="1" t="str">
        <f>TEXT(A17,"mmm"&amp;"yyy")</f>
        <v>Feb2025</v>
      </c>
      <c r="C17" t="s">
        <v>21</v>
      </c>
      <c r="D17" t="s">
        <v>25</v>
      </c>
      <c r="E17" t="s">
        <v>19</v>
      </c>
      <c r="F17">
        <v>2025</v>
      </c>
      <c r="G17" t="s">
        <v>20</v>
      </c>
      <c r="H17">
        <v>439</v>
      </c>
      <c r="I17">
        <v>460</v>
      </c>
      <c r="J17">
        <v>431.45</v>
      </c>
      <c r="K17">
        <v>440.4</v>
      </c>
      <c r="L17">
        <v>454.7</v>
      </c>
      <c r="M17">
        <v>454.85</v>
      </c>
      <c r="N17">
        <v>453.17</v>
      </c>
      <c r="O17">
        <v>804.9</v>
      </c>
      <c r="P17">
        <v>418.75</v>
      </c>
      <c r="Q17">
        <v>4076153</v>
      </c>
      <c r="R17">
        <v>63875</v>
      </c>
    </row>
    <row r="18" spans="1:18" x14ac:dyDescent="0.25">
      <c r="A18" s="1">
        <v>45706</v>
      </c>
      <c r="B18" s="1" t="str">
        <f>TEXT(A18,"mmm"&amp;"yyy")</f>
        <v>Feb2025</v>
      </c>
      <c r="C18" t="s">
        <v>22</v>
      </c>
      <c r="D18" t="s">
        <v>25</v>
      </c>
      <c r="E18" t="s">
        <v>19</v>
      </c>
      <c r="F18">
        <v>2025</v>
      </c>
      <c r="G18" t="s">
        <v>20</v>
      </c>
      <c r="H18">
        <v>430.5</v>
      </c>
      <c r="I18">
        <v>442.75</v>
      </c>
      <c r="J18">
        <v>419.7</v>
      </c>
      <c r="K18">
        <v>431.5</v>
      </c>
      <c r="L18">
        <v>438.5</v>
      </c>
      <c r="M18">
        <v>440.4</v>
      </c>
      <c r="N18">
        <v>432.57</v>
      </c>
      <c r="O18">
        <v>804.9</v>
      </c>
      <c r="P18">
        <v>418.75</v>
      </c>
      <c r="Q18">
        <v>4154074</v>
      </c>
      <c r="R18">
        <v>84584</v>
      </c>
    </row>
    <row r="19" spans="1:18" x14ac:dyDescent="0.25">
      <c r="A19" s="1">
        <v>45705</v>
      </c>
      <c r="B19" s="1" t="str">
        <f>TEXT(A19,"mmm"&amp;"yyy")</f>
        <v>Feb2025</v>
      </c>
      <c r="C19" t="s">
        <v>23</v>
      </c>
      <c r="D19" t="s">
        <v>25</v>
      </c>
      <c r="E19" t="s">
        <v>19</v>
      </c>
      <c r="F19">
        <v>2025</v>
      </c>
      <c r="G19" t="s">
        <v>20</v>
      </c>
      <c r="H19">
        <v>436.05</v>
      </c>
      <c r="I19">
        <v>437.1</v>
      </c>
      <c r="J19">
        <v>418.75</v>
      </c>
      <c r="K19">
        <v>437.1</v>
      </c>
      <c r="L19">
        <v>431</v>
      </c>
      <c r="M19">
        <v>431.5</v>
      </c>
      <c r="N19">
        <v>427</v>
      </c>
      <c r="O19">
        <v>804.9</v>
      </c>
      <c r="P19">
        <v>418.75</v>
      </c>
      <c r="Q19">
        <v>6897917</v>
      </c>
      <c r="R19">
        <v>193986</v>
      </c>
    </row>
    <row r="20" spans="1:18" x14ac:dyDescent="0.25">
      <c r="A20" s="1">
        <v>45702</v>
      </c>
      <c r="B20" s="1" t="str">
        <f>TEXT(A20,"mmm"&amp;"yyy")</f>
        <v>Feb2025</v>
      </c>
      <c r="C20" t="s">
        <v>24</v>
      </c>
      <c r="D20" t="s">
        <v>25</v>
      </c>
      <c r="E20" t="s">
        <v>19</v>
      </c>
      <c r="F20">
        <v>2025</v>
      </c>
      <c r="G20" t="s">
        <v>20</v>
      </c>
      <c r="H20">
        <v>469</v>
      </c>
      <c r="I20">
        <v>470.2</v>
      </c>
      <c r="J20">
        <v>434.3</v>
      </c>
      <c r="K20">
        <v>467.65</v>
      </c>
      <c r="L20">
        <v>436.7</v>
      </c>
      <c r="M20">
        <v>437.1</v>
      </c>
      <c r="N20">
        <v>443.73</v>
      </c>
      <c r="O20">
        <v>804.9</v>
      </c>
      <c r="P20">
        <v>434.3</v>
      </c>
      <c r="Q20">
        <v>3885358</v>
      </c>
      <c r="R20">
        <v>77855</v>
      </c>
    </row>
    <row r="21" spans="1:18" x14ac:dyDescent="0.25">
      <c r="A21" s="1">
        <v>45701</v>
      </c>
      <c r="B21" s="1" t="str">
        <f>TEXT(A21,"mmm"&amp;"yyy")</f>
        <v>Feb2025</v>
      </c>
      <c r="C21" t="s">
        <v>17</v>
      </c>
      <c r="D21" t="s">
        <v>25</v>
      </c>
      <c r="E21" t="s">
        <v>19</v>
      </c>
      <c r="F21">
        <v>2025</v>
      </c>
      <c r="G21" t="s">
        <v>20</v>
      </c>
      <c r="H21">
        <v>468</v>
      </c>
      <c r="I21">
        <v>480.05</v>
      </c>
      <c r="J21">
        <v>465.3</v>
      </c>
      <c r="K21">
        <v>467.6</v>
      </c>
      <c r="L21">
        <v>467.1</v>
      </c>
      <c r="M21">
        <v>467.65</v>
      </c>
      <c r="N21">
        <v>472.54</v>
      </c>
      <c r="O21">
        <v>804.9</v>
      </c>
      <c r="P21">
        <v>439.6</v>
      </c>
      <c r="Q21">
        <v>1560258</v>
      </c>
      <c r="R21">
        <v>33641</v>
      </c>
    </row>
    <row r="22" spans="1:18" x14ac:dyDescent="0.25">
      <c r="A22" s="1">
        <v>45700</v>
      </c>
      <c r="B22" s="1" t="str">
        <f>TEXT(A22,"mmm"&amp;"yyy")</f>
        <v>Feb2025</v>
      </c>
      <c r="C22" t="s">
        <v>21</v>
      </c>
      <c r="D22" t="s">
        <v>25</v>
      </c>
      <c r="E22" t="s">
        <v>19</v>
      </c>
      <c r="F22">
        <v>2025</v>
      </c>
      <c r="G22" t="s">
        <v>20</v>
      </c>
      <c r="H22">
        <v>466.85</v>
      </c>
      <c r="I22">
        <v>471</v>
      </c>
      <c r="J22">
        <v>451.75</v>
      </c>
      <c r="K22">
        <v>466.9</v>
      </c>
      <c r="L22">
        <v>468.6</v>
      </c>
      <c r="M22">
        <v>467.6</v>
      </c>
      <c r="N22">
        <v>462.1</v>
      </c>
      <c r="O22">
        <v>804.9</v>
      </c>
      <c r="P22">
        <v>439.6</v>
      </c>
      <c r="Q22">
        <v>2782225</v>
      </c>
      <c r="R22">
        <v>50161</v>
      </c>
    </row>
    <row r="23" spans="1:18" x14ac:dyDescent="0.25">
      <c r="A23" s="1">
        <v>45699</v>
      </c>
      <c r="B23" s="1" t="str">
        <f>TEXT(A23,"mmm"&amp;"yyy")</f>
        <v>Feb2025</v>
      </c>
      <c r="C23" t="s">
        <v>22</v>
      </c>
      <c r="D23" t="s">
        <v>25</v>
      </c>
      <c r="E23" t="s">
        <v>19</v>
      </c>
      <c r="F23">
        <v>2025</v>
      </c>
      <c r="G23" t="s">
        <v>20</v>
      </c>
      <c r="H23">
        <v>475.1</v>
      </c>
      <c r="I23">
        <v>477.6</v>
      </c>
      <c r="J23">
        <v>461.15</v>
      </c>
      <c r="K23">
        <v>476.9</v>
      </c>
      <c r="L23">
        <v>466.8</v>
      </c>
      <c r="M23">
        <v>466.9</v>
      </c>
      <c r="N23">
        <v>467.3</v>
      </c>
      <c r="O23">
        <v>804.9</v>
      </c>
      <c r="P23">
        <v>439.6</v>
      </c>
      <c r="Q23">
        <v>3213487</v>
      </c>
      <c r="R23">
        <v>49817</v>
      </c>
    </row>
    <row r="24" spans="1:18" x14ac:dyDescent="0.25">
      <c r="A24" s="1">
        <v>45698</v>
      </c>
      <c r="B24" s="1" t="str">
        <f>TEXT(A24,"mmm"&amp;"yyy")</f>
        <v>Feb2025</v>
      </c>
      <c r="C24" t="s">
        <v>23</v>
      </c>
      <c r="D24" t="s">
        <v>25</v>
      </c>
      <c r="E24" t="s">
        <v>19</v>
      </c>
      <c r="F24">
        <v>2025</v>
      </c>
      <c r="G24" t="s">
        <v>20</v>
      </c>
      <c r="H24">
        <v>483.6</v>
      </c>
      <c r="I24">
        <v>485</v>
      </c>
      <c r="J24">
        <v>474</v>
      </c>
      <c r="K24">
        <v>484.65</v>
      </c>
      <c r="L24">
        <v>474.35</v>
      </c>
      <c r="M24">
        <v>476.9</v>
      </c>
      <c r="N24">
        <v>479.48</v>
      </c>
      <c r="O24">
        <v>804.9</v>
      </c>
      <c r="P24">
        <v>439.6</v>
      </c>
      <c r="Q24">
        <v>6658769</v>
      </c>
      <c r="R24">
        <v>67852</v>
      </c>
    </row>
    <row r="25" spans="1:18" x14ac:dyDescent="0.25">
      <c r="A25" s="1">
        <v>45695</v>
      </c>
      <c r="B25" s="1" t="str">
        <f>TEXT(A25,"mmm"&amp;"yyy")</f>
        <v>Feb2025</v>
      </c>
      <c r="C25" t="s">
        <v>24</v>
      </c>
      <c r="D25" t="s">
        <v>25</v>
      </c>
      <c r="E25" t="s">
        <v>19</v>
      </c>
      <c r="F25">
        <v>2025</v>
      </c>
      <c r="G25" t="s">
        <v>20</v>
      </c>
      <c r="H25">
        <v>492.75</v>
      </c>
      <c r="I25">
        <v>494.9</v>
      </c>
      <c r="J25">
        <v>482.35</v>
      </c>
      <c r="K25">
        <v>494.2</v>
      </c>
      <c r="L25">
        <v>485.45</v>
      </c>
      <c r="M25">
        <v>484.65</v>
      </c>
      <c r="N25">
        <v>487.33</v>
      </c>
      <c r="O25">
        <v>804.9</v>
      </c>
      <c r="P25">
        <v>439.6</v>
      </c>
      <c r="Q25">
        <v>2431783</v>
      </c>
      <c r="R25">
        <v>48705</v>
      </c>
    </row>
    <row r="26" spans="1:18" x14ac:dyDescent="0.25">
      <c r="A26" s="1">
        <v>45694</v>
      </c>
      <c r="B26" s="1" t="str">
        <f>TEXT(A26,"mmm"&amp;"yyy")</f>
        <v>Feb2025</v>
      </c>
      <c r="C26" t="s">
        <v>17</v>
      </c>
      <c r="D26" t="s">
        <v>25</v>
      </c>
      <c r="E26" t="s">
        <v>19</v>
      </c>
      <c r="F26">
        <v>2025</v>
      </c>
      <c r="G26" t="s">
        <v>20</v>
      </c>
      <c r="H26">
        <v>494</v>
      </c>
      <c r="I26">
        <v>500</v>
      </c>
      <c r="J26">
        <v>488.05</v>
      </c>
      <c r="K26">
        <v>493.8</v>
      </c>
      <c r="L26">
        <v>492.8</v>
      </c>
      <c r="M26">
        <v>494.2</v>
      </c>
      <c r="N26">
        <v>494.17</v>
      </c>
      <c r="O26">
        <v>804.9</v>
      </c>
      <c r="P26">
        <v>439.6</v>
      </c>
      <c r="Q26">
        <v>3540027</v>
      </c>
      <c r="R26">
        <v>100948</v>
      </c>
    </row>
    <row r="27" spans="1:18" x14ac:dyDescent="0.25">
      <c r="A27" s="1">
        <v>45693</v>
      </c>
      <c r="B27" s="1" t="str">
        <f>TEXT(A27,"mmm"&amp;"yyy")</f>
        <v>Feb2025</v>
      </c>
      <c r="C27" t="s">
        <v>21</v>
      </c>
      <c r="D27" t="s">
        <v>25</v>
      </c>
      <c r="E27" t="s">
        <v>19</v>
      </c>
      <c r="F27">
        <v>2025</v>
      </c>
      <c r="G27" t="s">
        <v>20</v>
      </c>
      <c r="H27">
        <v>474.85</v>
      </c>
      <c r="I27">
        <v>501.5</v>
      </c>
      <c r="J27">
        <v>474.5</v>
      </c>
      <c r="K27">
        <v>469.7</v>
      </c>
      <c r="L27">
        <v>495</v>
      </c>
      <c r="M27">
        <v>493.8</v>
      </c>
      <c r="N27">
        <v>493.17</v>
      </c>
      <c r="O27">
        <v>804.9</v>
      </c>
      <c r="P27">
        <v>439.6</v>
      </c>
      <c r="Q27">
        <v>14443076</v>
      </c>
      <c r="R27">
        <v>206947</v>
      </c>
    </row>
    <row r="28" spans="1:18" x14ac:dyDescent="0.25">
      <c r="A28" s="1">
        <v>45692</v>
      </c>
      <c r="B28" s="1" t="str">
        <f>TEXT(A28,"mmm"&amp;"yyy")</f>
        <v>Feb2025</v>
      </c>
      <c r="C28" t="s">
        <v>22</v>
      </c>
      <c r="D28" t="s">
        <v>25</v>
      </c>
      <c r="E28" t="s">
        <v>19</v>
      </c>
      <c r="F28">
        <v>2025</v>
      </c>
      <c r="G28" t="s">
        <v>20</v>
      </c>
      <c r="H28">
        <v>453.95</v>
      </c>
      <c r="I28">
        <v>473</v>
      </c>
      <c r="J28">
        <v>446</v>
      </c>
      <c r="K28">
        <v>445.65</v>
      </c>
      <c r="L28">
        <v>471</v>
      </c>
      <c r="M28">
        <v>469.7</v>
      </c>
      <c r="N28">
        <v>459.93</v>
      </c>
      <c r="O28">
        <v>804.9</v>
      </c>
      <c r="P28">
        <v>439.6</v>
      </c>
      <c r="Q28">
        <v>7217597</v>
      </c>
      <c r="R28">
        <v>89516</v>
      </c>
    </row>
    <row r="29" spans="1:18" x14ac:dyDescent="0.25">
      <c r="A29" s="1">
        <v>45691</v>
      </c>
      <c r="B29" s="1" t="str">
        <f>TEXT(A29,"mmm"&amp;"yyy")</f>
        <v>Feb2025</v>
      </c>
      <c r="C29" t="s">
        <v>23</v>
      </c>
      <c r="D29" t="s">
        <v>25</v>
      </c>
      <c r="E29" t="s">
        <v>19</v>
      </c>
      <c r="F29">
        <v>2025</v>
      </c>
      <c r="G29" t="s">
        <v>20</v>
      </c>
      <c r="H29">
        <v>474.8</v>
      </c>
      <c r="I29">
        <v>475.9</v>
      </c>
      <c r="J29">
        <v>439.6</v>
      </c>
      <c r="K29">
        <v>472</v>
      </c>
      <c r="L29">
        <v>446</v>
      </c>
      <c r="M29">
        <v>445.65</v>
      </c>
      <c r="N29">
        <v>447.86</v>
      </c>
      <c r="O29">
        <v>804.9</v>
      </c>
      <c r="P29">
        <v>439.6</v>
      </c>
      <c r="Q29">
        <v>12724924</v>
      </c>
      <c r="R29">
        <v>192350</v>
      </c>
    </row>
    <row r="30" spans="1:18" x14ac:dyDescent="0.25">
      <c r="A30" s="1">
        <v>45689</v>
      </c>
      <c r="B30" s="1" t="str">
        <f>TEXT(A30,"mmm"&amp;"yyy")</f>
        <v>Feb2025</v>
      </c>
      <c r="C30" t="s">
        <v>26</v>
      </c>
      <c r="D30" t="s">
        <v>25</v>
      </c>
      <c r="E30" t="s">
        <v>19</v>
      </c>
      <c r="F30">
        <v>2025</v>
      </c>
      <c r="G30" t="s">
        <v>20</v>
      </c>
      <c r="H30">
        <v>509.45</v>
      </c>
      <c r="I30">
        <v>516.54999999999995</v>
      </c>
      <c r="J30">
        <v>469</v>
      </c>
      <c r="K30">
        <v>508.6</v>
      </c>
      <c r="L30">
        <v>471.7</v>
      </c>
      <c r="M30">
        <v>472</v>
      </c>
      <c r="N30">
        <v>487.39</v>
      </c>
      <c r="O30">
        <v>804.9</v>
      </c>
      <c r="P30">
        <v>452.2</v>
      </c>
      <c r="Q30">
        <v>5769497</v>
      </c>
      <c r="R30">
        <v>104031</v>
      </c>
    </row>
    <row r="31" spans="1:18" x14ac:dyDescent="0.25">
      <c r="A31" s="1">
        <v>45688</v>
      </c>
      <c r="B31" s="1" t="str">
        <f>TEXT(A31,"mmm"&amp;"yyy")</f>
        <v>Jan2025</v>
      </c>
      <c r="C31" t="s">
        <v>24</v>
      </c>
      <c r="D31" t="s">
        <v>27</v>
      </c>
      <c r="E31" t="s">
        <v>19</v>
      </c>
      <c r="F31">
        <v>2025</v>
      </c>
      <c r="G31" t="s">
        <v>20</v>
      </c>
      <c r="H31">
        <v>489.5</v>
      </c>
      <c r="I31">
        <v>509.95</v>
      </c>
      <c r="J31">
        <v>482.2</v>
      </c>
      <c r="K31">
        <v>483.85</v>
      </c>
      <c r="L31">
        <v>509.9</v>
      </c>
      <c r="M31">
        <v>508.6</v>
      </c>
      <c r="N31">
        <v>501.01</v>
      </c>
      <c r="O31">
        <v>804.9</v>
      </c>
      <c r="P31">
        <v>452.2</v>
      </c>
      <c r="Q31">
        <v>3358679</v>
      </c>
      <c r="R31">
        <v>64720</v>
      </c>
    </row>
    <row r="32" spans="1:18" x14ac:dyDescent="0.25">
      <c r="A32" s="1">
        <v>45687</v>
      </c>
      <c r="B32" s="1" t="str">
        <f>TEXT(A32,"mmm"&amp;"yyy")</f>
        <v>Jan2025</v>
      </c>
      <c r="C32" t="s">
        <v>17</v>
      </c>
      <c r="D32" t="s">
        <v>27</v>
      </c>
      <c r="E32" t="s">
        <v>19</v>
      </c>
      <c r="F32">
        <v>2025</v>
      </c>
      <c r="G32" t="s">
        <v>20</v>
      </c>
      <c r="H32">
        <v>476.8</v>
      </c>
      <c r="I32">
        <v>496</v>
      </c>
      <c r="J32">
        <v>474.75</v>
      </c>
      <c r="K32">
        <v>474.75</v>
      </c>
      <c r="L32">
        <v>484.35</v>
      </c>
      <c r="M32">
        <v>483.85</v>
      </c>
      <c r="N32">
        <v>486.77</v>
      </c>
      <c r="O32">
        <v>804.9</v>
      </c>
      <c r="P32">
        <v>452.2</v>
      </c>
      <c r="Q32">
        <v>9565616</v>
      </c>
      <c r="R32">
        <v>141364</v>
      </c>
    </row>
    <row r="33" spans="1:18" x14ac:dyDescent="0.25">
      <c r="A33" s="1">
        <v>45686</v>
      </c>
      <c r="B33" s="1" t="str">
        <f>TEXT(A33,"mmm"&amp;"yyy")</f>
        <v>Jan2025</v>
      </c>
      <c r="C33" t="s">
        <v>21</v>
      </c>
      <c r="D33" t="s">
        <v>27</v>
      </c>
      <c r="E33" t="s">
        <v>19</v>
      </c>
      <c r="F33">
        <v>2025</v>
      </c>
      <c r="G33" t="s">
        <v>20</v>
      </c>
      <c r="H33">
        <v>463.7</v>
      </c>
      <c r="I33">
        <v>488.35</v>
      </c>
      <c r="J33">
        <v>453.6</v>
      </c>
      <c r="K33">
        <v>504</v>
      </c>
      <c r="L33">
        <v>473.8</v>
      </c>
      <c r="M33">
        <v>474.75</v>
      </c>
      <c r="N33">
        <v>470.72</v>
      </c>
      <c r="O33">
        <v>804.9</v>
      </c>
      <c r="P33">
        <v>452.2</v>
      </c>
      <c r="Q33">
        <v>28908664</v>
      </c>
      <c r="R33">
        <v>303890</v>
      </c>
    </row>
    <row r="34" spans="1:18" x14ac:dyDescent="0.25">
      <c r="A34" s="1">
        <v>45685</v>
      </c>
      <c r="B34" s="1" t="str">
        <f>TEXT(A34,"mmm"&amp;"yyy")</f>
        <v>Jan2025</v>
      </c>
      <c r="C34" t="s">
        <v>22</v>
      </c>
      <c r="D34" t="s">
        <v>27</v>
      </c>
      <c r="E34" t="s">
        <v>19</v>
      </c>
      <c r="F34">
        <v>2025</v>
      </c>
      <c r="G34" t="s">
        <v>20</v>
      </c>
      <c r="H34">
        <v>531.5</v>
      </c>
      <c r="I34">
        <v>534.35</v>
      </c>
      <c r="J34">
        <v>502.2</v>
      </c>
      <c r="K34">
        <v>534.35</v>
      </c>
      <c r="L34">
        <v>504</v>
      </c>
      <c r="M34">
        <v>504</v>
      </c>
      <c r="N34">
        <v>510.71</v>
      </c>
      <c r="O34">
        <v>804.9</v>
      </c>
      <c r="P34">
        <v>452.2</v>
      </c>
      <c r="Q34">
        <v>4851730</v>
      </c>
      <c r="R34">
        <v>118185</v>
      </c>
    </row>
    <row r="35" spans="1:18" x14ac:dyDescent="0.25">
      <c r="A35" s="1">
        <v>45684</v>
      </c>
      <c r="B35" s="1" t="str">
        <f>TEXT(A35,"mmm"&amp;"yyy")</f>
        <v>Jan2025</v>
      </c>
      <c r="C35" t="s">
        <v>23</v>
      </c>
      <c r="D35" t="s">
        <v>27</v>
      </c>
      <c r="E35" t="s">
        <v>19</v>
      </c>
      <c r="F35">
        <v>2025</v>
      </c>
      <c r="G35" t="s">
        <v>20</v>
      </c>
      <c r="H35">
        <v>540</v>
      </c>
      <c r="I35">
        <v>542.29999999999995</v>
      </c>
      <c r="J35">
        <v>530</v>
      </c>
      <c r="K35">
        <v>544.15</v>
      </c>
      <c r="L35">
        <v>532.79999999999995</v>
      </c>
      <c r="M35">
        <v>534.35</v>
      </c>
      <c r="N35">
        <v>536.47</v>
      </c>
      <c r="O35">
        <v>804.9</v>
      </c>
      <c r="P35">
        <v>452.2</v>
      </c>
      <c r="Q35">
        <v>2452402</v>
      </c>
      <c r="R35">
        <v>63250</v>
      </c>
    </row>
    <row r="36" spans="1:18" x14ac:dyDescent="0.25">
      <c r="A36" s="1">
        <v>45681</v>
      </c>
      <c r="B36" s="1" t="str">
        <f>TEXT(A36,"mmm"&amp;"yyy")</f>
        <v>Jan2025</v>
      </c>
      <c r="C36" t="s">
        <v>24</v>
      </c>
      <c r="D36" t="s">
        <v>27</v>
      </c>
      <c r="E36" t="s">
        <v>19</v>
      </c>
      <c r="F36">
        <v>2025</v>
      </c>
      <c r="G36" t="s">
        <v>20</v>
      </c>
      <c r="H36">
        <v>555</v>
      </c>
      <c r="I36">
        <v>564</v>
      </c>
      <c r="J36">
        <v>538.1</v>
      </c>
      <c r="K36">
        <v>552.1</v>
      </c>
      <c r="L36">
        <v>544.54999999999995</v>
      </c>
      <c r="M36">
        <v>544.15</v>
      </c>
      <c r="N36">
        <v>549.55999999999995</v>
      </c>
      <c r="O36">
        <v>804.9</v>
      </c>
      <c r="P36">
        <v>452.2</v>
      </c>
      <c r="Q36">
        <v>2108004</v>
      </c>
      <c r="R36">
        <v>64886</v>
      </c>
    </row>
    <row r="37" spans="1:18" x14ac:dyDescent="0.25">
      <c r="A37" s="1">
        <v>45680</v>
      </c>
      <c r="B37" s="1" t="str">
        <f>TEXT(A37,"mmm"&amp;"yyy")</f>
        <v>Jan2025</v>
      </c>
      <c r="C37" t="s">
        <v>17</v>
      </c>
      <c r="D37" t="s">
        <v>27</v>
      </c>
      <c r="E37" t="s">
        <v>19</v>
      </c>
      <c r="F37">
        <v>2025</v>
      </c>
      <c r="G37" t="s">
        <v>20</v>
      </c>
      <c r="H37">
        <v>546.95000000000005</v>
      </c>
      <c r="I37">
        <v>559.65</v>
      </c>
      <c r="J37">
        <v>540.79999999999995</v>
      </c>
      <c r="K37">
        <v>550</v>
      </c>
      <c r="L37">
        <v>551.5</v>
      </c>
      <c r="M37">
        <v>552.1</v>
      </c>
      <c r="N37">
        <v>551.20000000000005</v>
      </c>
      <c r="O37">
        <v>804.9</v>
      </c>
      <c r="P37">
        <v>452.2</v>
      </c>
      <c r="Q37">
        <v>1716243</v>
      </c>
      <c r="R37">
        <v>41642</v>
      </c>
    </row>
    <row r="38" spans="1:18" x14ac:dyDescent="0.25">
      <c r="A38" s="1">
        <v>45679</v>
      </c>
      <c r="B38" s="1" t="str">
        <f>TEXT(A38,"mmm"&amp;"yyy")</f>
        <v>Jan2025</v>
      </c>
      <c r="C38" t="s">
        <v>21</v>
      </c>
      <c r="D38" t="s">
        <v>27</v>
      </c>
      <c r="E38" t="s">
        <v>19</v>
      </c>
      <c r="F38">
        <v>2025</v>
      </c>
      <c r="G38" t="s">
        <v>20</v>
      </c>
      <c r="H38">
        <v>557.54999999999995</v>
      </c>
      <c r="I38">
        <v>561.5</v>
      </c>
      <c r="J38">
        <v>541.29999999999995</v>
      </c>
      <c r="K38">
        <v>557.54999999999995</v>
      </c>
      <c r="L38">
        <v>549.79999999999995</v>
      </c>
      <c r="M38">
        <v>550</v>
      </c>
      <c r="N38">
        <v>548.79</v>
      </c>
      <c r="O38">
        <v>804.9</v>
      </c>
      <c r="P38">
        <v>452.2</v>
      </c>
      <c r="Q38">
        <v>2240871</v>
      </c>
      <c r="R38">
        <v>62838</v>
      </c>
    </row>
    <row r="39" spans="1:18" x14ac:dyDescent="0.25">
      <c r="A39" s="1">
        <v>45678</v>
      </c>
      <c r="B39" s="1" t="str">
        <f>TEXT(A39,"mmm"&amp;"yyy")</f>
        <v>Jan2025</v>
      </c>
      <c r="C39" t="s">
        <v>22</v>
      </c>
      <c r="D39" t="s">
        <v>27</v>
      </c>
      <c r="E39" t="s">
        <v>19</v>
      </c>
      <c r="F39">
        <v>2025</v>
      </c>
      <c r="G39" t="s">
        <v>20</v>
      </c>
      <c r="H39">
        <v>581.9</v>
      </c>
      <c r="I39">
        <v>581.9</v>
      </c>
      <c r="J39">
        <v>556.6</v>
      </c>
      <c r="K39">
        <v>579.25</v>
      </c>
      <c r="L39">
        <v>559.29999999999995</v>
      </c>
      <c r="M39">
        <v>557.54999999999995</v>
      </c>
      <c r="N39">
        <v>562.39</v>
      </c>
      <c r="O39">
        <v>804.9</v>
      </c>
      <c r="P39">
        <v>452.2</v>
      </c>
      <c r="Q39">
        <v>3125064</v>
      </c>
      <c r="R39">
        <v>60755</v>
      </c>
    </row>
    <row r="40" spans="1:18" x14ac:dyDescent="0.25">
      <c r="A40" s="1">
        <v>45677</v>
      </c>
      <c r="B40" s="1" t="str">
        <f>TEXT(A40,"mmm"&amp;"yyy")</f>
        <v>Jan2025</v>
      </c>
      <c r="C40" t="s">
        <v>23</v>
      </c>
      <c r="D40" t="s">
        <v>27</v>
      </c>
      <c r="E40" t="s">
        <v>19</v>
      </c>
      <c r="F40">
        <v>2025</v>
      </c>
      <c r="G40" t="s">
        <v>20</v>
      </c>
      <c r="H40">
        <v>566</v>
      </c>
      <c r="I40">
        <v>582</v>
      </c>
      <c r="J40">
        <v>560.35</v>
      </c>
      <c r="K40">
        <v>568</v>
      </c>
      <c r="L40">
        <v>577</v>
      </c>
      <c r="M40">
        <v>579.25</v>
      </c>
      <c r="N40">
        <v>574.08000000000004</v>
      </c>
      <c r="O40">
        <v>804.9</v>
      </c>
      <c r="P40">
        <v>452.2</v>
      </c>
      <c r="Q40">
        <v>1556431</v>
      </c>
      <c r="R40">
        <v>44034</v>
      </c>
    </row>
    <row r="41" spans="1:18" x14ac:dyDescent="0.25">
      <c r="A41" s="1">
        <v>45674</v>
      </c>
      <c r="B41" s="1" t="str">
        <f>TEXT(A41,"mmm"&amp;"yyy")</f>
        <v>Jan2025</v>
      </c>
      <c r="C41" t="s">
        <v>24</v>
      </c>
      <c r="D41" t="s">
        <v>27</v>
      </c>
      <c r="E41" t="s">
        <v>19</v>
      </c>
      <c r="F41">
        <v>2025</v>
      </c>
      <c r="G41" t="s">
        <v>20</v>
      </c>
      <c r="H41">
        <v>565.54999999999995</v>
      </c>
      <c r="I41">
        <v>578.45000000000005</v>
      </c>
      <c r="J41">
        <v>563</v>
      </c>
      <c r="K41">
        <v>570.45000000000005</v>
      </c>
      <c r="L41">
        <v>566</v>
      </c>
      <c r="M41">
        <v>568</v>
      </c>
      <c r="N41">
        <v>572.04999999999995</v>
      </c>
      <c r="O41">
        <v>804.9</v>
      </c>
      <c r="P41">
        <v>451.65</v>
      </c>
      <c r="Q41">
        <v>1431717</v>
      </c>
      <c r="R41">
        <v>37286</v>
      </c>
    </row>
    <row r="42" spans="1:18" x14ac:dyDescent="0.25">
      <c r="A42" s="1">
        <v>45673</v>
      </c>
      <c r="B42" s="1" t="str">
        <f>TEXT(A42,"mmm"&amp;"yyy")</f>
        <v>Jan2025</v>
      </c>
      <c r="C42" t="s">
        <v>17</v>
      </c>
      <c r="D42" t="s">
        <v>27</v>
      </c>
      <c r="E42" t="s">
        <v>19</v>
      </c>
      <c r="F42">
        <v>2025</v>
      </c>
      <c r="G42" t="s">
        <v>20</v>
      </c>
      <c r="H42">
        <v>564.25</v>
      </c>
      <c r="I42">
        <v>574</v>
      </c>
      <c r="J42">
        <v>564.25</v>
      </c>
      <c r="K42">
        <v>561.5</v>
      </c>
      <c r="L42">
        <v>570.75</v>
      </c>
      <c r="M42">
        <v>570.45000000000005</v>
      </c>
      <c r="N42">
        <v>570.05999999999995</v>
      </c>
      <c r="O42">
        <v>804.9</v>
      </c>
      <c r="P42">
        <v>451.65</v>
      </c>
      <c r="Q42">
        <v>1375209</v>
      </c>
      <c r="R42">
        <v>41060</v>
      </c>
    </row>
    <row r="43" spans="1:18" x14ac:dyDescent="0.25">
      <c r="A43" s="1">
        <v>45672</v>
      </c>
      <c r="B43" s="1" t="str">
        <f>TEXT(A43,"mmm"&amp;"yyy")</f>
        <v>Jan2025</v>
      </c>
      <c r="C43" t="s">
        <v>21</v>
      </c>
      <c r="D43" t="s">
        <v>27</v>
      </c>
      <c r="E43" t="s">
        <v>19</v>
      </c>
      <c r="F43">
        <v>2025</v>
      </c>
      <c r="G43" t="s">
        <v>20</v>
      </c>
      <c r="H43">
        <v>554</v>
      </c>
      <c r="I43">
        <v>563.5</v>
      </c>
      <c r="J43">
        <v>548.04999999999995</v>
      </c>
      <c r="K43">
        <v>547.85</v>
      </c>
      <c r="L43">
        <v>562.79999999999995</v>
      </c>
      <c r="M43">
        <v>561.5</v>
      </c>
      <c r="N43">
        <v>558.69000000000005</v>
      </c>
      <c r="O43">
        <v>804.9</v>
      </c>
      <c r="P43">
        <v>451.65</v>
      </c>
      <c r="Q43">
        <v>3204143</v>
      </c>
      <c r="R43">
        <v>66962</v>
      </c>
    </row>
    <row r="44" spans="1:18" x14ac:dyDescent="0.25">
      <c r="A44" s="1">
        <v>45671</v>
      </c>
      <c r="B44" s="1" t="str">
        <f>TEXT(A44,"mmm"&amp;"yyy")</f>
        <v>Jan2025</v>
      </c>
      <c r="C44" t="s">
        <v>22</v>
      </c>
      <c r="D44" t="s">
        <v>27</v>
      </c>
      <c r="E44" t="s">
        <v>19</v>
      </c>
      <c r="F44">
        <v>2025</v>
      </c>
      <c r="G44" t="s">
        <v>20</v>
      </c>
      <c r="H44">
        <v>527</v>
      </c>
      <c r="I44">
        <v>555.54999999999995</v>
      </c>
      <c r="J44">
        <v>526</v>
      </c>
      <c r="K44">
        <v>517.75</v>
      </c>
      <c r="L44">
        <v>550.95000000000005</v>
      </c>
      <c r="M44">
        <v>547.85</v>
      </c>
      <c r="N44">
        <v>545.63</v>
      </c>
      <c r="O44">
        <v>804.9</v>
      </c>
      <c r="P44">
        <v>451.65</v>
      </c>
      <c r="Q44">
        <v>7595937</v>
      </c>
      <c r="R44">
        <v>159998</v>
      </c>
    </row>
    <row r="45" spans="1:18" x14ac:dyDescent="0.25">
      <c r="A45" s="1">
        <v>45670</v>
      </c>
      <c r="B45" s="1" t="str">
        <f>TEXT(A45,"mmm"&amp;"yyy")</f>
        <v>Jan2025</v>
      </c>
      <c r="C45" t="s">
        <v>23</v>
      </c>
      <c r="D45" t="s">
        <v>27</v>
      </c>
      <c r="E45" t="s">
        <v>19</v>
      </c>
      <c r="F45">
        <v>2025</v>
      </c>
      <c r="G45" t="s">
        <v>20</v>
      </c>
      <c r="H45">
        <v>531.6</v>
      </c>
      <c r="I45">
        <v>539.6</v>
      </c>
      <c r="J45">
        <v>514.70000000000005</v>
      </c>
      <c r="K45">
        <v>539.6</v>
      </c>
      <c r="L45">
        <v>518.5</v>
      </c>
      <c r="M45">
        <v>517.75</v>
      </c>
      <c r="N45">
        <v>526.88</v>
      </c>
      <c r="O45">
        <v>804.9</v>
      </c>
      <c r="P45">
        <v>451.65</v>
      </c>
      <c r="Q45">
        <v>2130563</v>
      </c>
      <c r="R45">
        <v>74626</v>
      </c>
    </row>
    <row r="46" spans="1:18" x14ac:dyDescent="0.25">
      <c r="A46" s="1">
        <v>45667</v>
      </c>
      <c r="B46" s="1" t="str">
        <f>TEXT(A46,"mmm"&amp;"yyy")</f>
        <v>Jan2025</v>
      </c>
      <c r="C46" t="s">
        <v>24</v>
      </c>
      <c r="D46" t="s">
        <v>27</v>
      </c>
      <c r="E46" t="s">
        <v>19</v>
      </c>
      <c r="F46">
        <v>2025</v>
      </c>
      <c r="G46" t="s">
        <v>20</v>
      </c>
      <c r="H46">
        <v>557.9</v>
      </c>
      <c r="I46">
        <v>560</v>
      </c>
      <c r="J46">
        <v>536.65</v>
      </c>
      <c r="K46">
        <v>557.65</v>
      </c>
      <c r="L46">
        <v>542.45000000000005</v>
      </c>
      <c r="M46">
        <v>539.6</v>
      </c>
      <c r="N46">
        <v>543.83000000000004</v>
      </c>
      <c r="O46">
        <v>804.9</v>
      </c>
      <c r="P46">
        <v>417</v>
      </c>
      <c r="Q46">
        <v>4671536</v>
      </c>
      <c r="R46">
        <v>89196</v>
      </c>
    </row>
    <row r="47" spans="1:18" x14ac:dyDescent="0.25">
      <c r="A47" s="1">
        <v>45666</v>
      </c>
      <c r="B47" s="1" t="str">
        <f>TEXT(A47,"mmm"&amp;"yyy")</f>
        <v>Jan2025</v>
      </c>
      <c r="C47" t="s">
        <v>17</v>
      </c>
      <c r="D47" t="s">
        <v>27</v>
      </c>
      <c r="E47" t="s">
        <v>19</v>
      </c>
      <c r="F47">
        <v>2025</v>
      </c>
      <c r="G47" t="s">
        <v>20</v>
      </c>
      <c r="H47">
        <v>579.35</v>
      </c>
      <c r="I47">
        <v>581.4</v>
      </c>
      <c r="J47">
        <v>555.65</v>
      </c>
      <c r="K47">
        <v>579.35</v>
      </c>
      <c r="L47">
        <v>558.79999999999995</v>
      </c>
      <c r="M47">
        <v>557.65</v>
      </c>
      <c r="N47">
        <v>564.78</v>
      </c>
      <c r="O47">
        <v>804.9</v>
      </c>
      <c r="P47">
        <v>417</v>
      </c>
      <c r="Q47">
        <v>2418243</v>
      </c>
      <c r="R47">
        <v>58820</v>
      </c>
    </row>
    <row r="48" spans="1:18" x14ac:dyDescent="0.25">
      <c r="A48" s="1">
        <v>45665</v>
      </c>
      <c r="B48" s="1" t="str">
        <f>TEXT(A48,"mmm"&amp;"yyy")</f>
        <v>Jan2025</v>
      </c>
      <c r="C48" t="s">
        <v>21</v>
      </c>
      <c r="D48" t="s">
        <v>27</v>
      </c>
      <c r="E48" t="s">
        <v>19</v>
      </c>
      <c r="F48">
        <v>2025</v>
      </c>
      <c r="G48" t="s">
        <v>20</v>
      </c>
      <c r="H48">
        <v>590</v>
      </c>
      <c r="I48">
        <v>591.95000000000005</v>
      </c>
      <c r="J48">
        <v>566</v>
      </c>
      <c r="K48">
        <v>595.65</v>
      </c>
      <c r="L48">
        <v>577.1</v>
      </c>
      <c r="M48">
        <v>579.35</v>
      </c>
      <c r="N48">
        <v>576.99</v>
      </c>
      <c r="O48">
        <v>804.9</v>
      </c>
      <c r="P48">
        <v>417</v>
      </c>
      <c r="Q48">
        <v>4473653</v>
      </c>
      <c r="R48">
        <v>114581</v>
      </c>
    </row>
    <row r="49" spans="1:18" x14ac:dyDescent="0.25">
      <c r="A49" s="1">
        <v>45664</v>
      </c>
      <c r="B49" s="1" t="str">
        <f>TEXT(A49,"mmm"&amp;"yyy")</f>
        <v>Jan2025</v>
      </c>
      <c r="C49" t="s">
        <v>22</v>
      </c>
      <c r="D49" t="s">
        <v>27</v>
      </c>
      <c r="E49" t="s">
        <v>19</v>
      </c>
      <c r="F49">
        <v>2025</v>
      </c>
      <c r="G49" t="s">
        <v>20</v>
      </c>
      <c r="H49">
        <v>603.70000000000005</v>
      </c>
      <c r="I49">
        <v>609.29999999999995</v>
      </c>
      <c r="J49">
        <v>593.1</v>
      </c>
      <c r="K49">
        <v>601.54999999999995</v>
      </c>
      <c r="L49">
        <v>594.25</v>
      </c>
      <c r="M49">
        <v>595.65</v>
      </c>
      <c r="N49">
        <v>599.03</v>
      </c>
      <c r="O49">
        <v>804.9</v>
      </c>
      <c r="P49">
        <v>417</v>
      </c>
      <c r="Q49">
        <v>3408556</v>
      </c>
      <c r="R49">
        <v>109519</v>
      </c>
    </row>
    <row r="50" spans="1:18" x14ac:dyDescent="0.25">
      <c r="A50" s="1">
        <v>45663</v>
      </c>
      <c r="B50" s="1" t="str">
        <f>TEXT(A50,"mmm"&amp;"yyy")</f>
        <v>Jan2025</v>
      </c>
      <c r="C50" t="s">
        <v>23</v>
      </c>
      <c r="D50" t="s">
        <v>27</v>
      </c>
      <c r="E50" t="s">
        <v>19</v>
      </c>
      <c r="F50">
        <v>2025</v>
      </c>
      <c r="G50" t="s">
        <v>20</v>
      </c>
      <c r="H50">
        <v>615</v>
      </c>
      <c r="I50">
        <v>624.4</v>
      </c>
      <c r="J50">
        <v>596</v>
      </c>
      <c r="K50">
        <v>634.4</v>
      </c>
      <c r="L50">
        <v>602</v>
      </c>
      <c r="M50">
        <v>601.54999999999995</v>
      </c>
      <c r="N50">
        <v>608.92999999999995</v>
      </c>
      <c r="O50">
        <v>804.9</v>
      </c>
      <c r="P50">
        <v>417</v>
      </c>
      <c r="Q50">
        <v>4443091</v>
      </c>
      <c r="R50">
        <v>127119</v>
      </c>
    </row>
    <row r="51" spans="1:18" x14ac:dyDescent="0.25">
      <c r="A51" s="1">
        <v>45660</v>
      </c>
      <c r="B51" s="1" t="str">
        <f>TEXT(A51,"mmm"&amp;"yyy")</f>
        <v>Jan2025</v>
      </c>
      <c r="C51" t="s">
        <v>24</v>
      </c>
      <c r="D51" t="s">
        <v>27</v>
      </c>
      <c r="E51" t="s">
        <v>19</v>
      </c>
      <c r="F51">
        <v>2025</v>
      </c>
      <c r="G51" t="s">
        <v>20</v>
      </c>
      <c r="H51">
        <v>642.4</v>
      </c>
      <c r="I51">
        <v>646.9</v>
      </c>
      <c r="J51">
        <v>631.70000000000005</v>
      </c>
      <c r="K51">
        <v>641</v>
      </c>
      <c r="L51">
        <v>633</v>
      </c>
      <c r="M51">
        <v>634.4</v>
      </c>
      <c r="N51">
        <v>637.38</v>
      </c>
      <c r="O51">
        <v>804.9</v>
      </c>
      <c r="P51">
        <v>404.15</v>
      </c>
      <c r="Q51">
        <v>2341500</v>
      </c>
      <c r="R51">
        <v>70497</v>
      </c>
    </row>
    <row r="52" spans="1:18" x14ac:dyDescent="0.25">
      <c r="A52" s="1">
        <v>45659</v>
      </c>
      <c r="B52" s="1" t="str">
        <f>TEXT(A52,"mmm"&amp;"yyy")</f>
        <v>Jan2025</v>
      </c>
      <c r="C52" t="s">
        <v>17</v>
      </c>
      <c r="D52" t="s">
        <v>27</v>
      </c>
      <c r="E52" t="s">
        <v>19</v>
      </c>
      <c r="F52">
        <v>2025</v>
      </c>
      <c r="G52" t="s">
        <v>20</v>
      </c>
      <c r="H52">
        <v>644.79999999999995</v>
      </c>
      <c r="I52">
        <v>647.1</v>
      </c>
      <c r="J52">
        <v>635.6</v>
      </c>
      <c r="K52">
        <v>644.29999999999995</v>
      </c>
      <c r="L52">
        <v>641.85</v>
      </c>
      <c r="M52">
        <v>641</v>
      </c>
      <c r="N52">
        <v>638.85</v>
      </c>
      <c r="O52">
        <v>804.9</v>
      </c>
      <c r="P52">
        <v>404.15</v>
      </c>
      <c r="Q52">
        <v>6416405</v>
      </c>
      <c r="R52">
        <v>64262</v>
      </c>
    </row>
    <row r="53" spans="1:18" x14ac:dyDescent="0.25">
      <c r="A53" s="1">
        <v>45658</v>
      </c>
      <c r="B53" s="1" t="str">
        <f>TEXT(A53,"mmm"&amp;"yyy")</f>
        <v>Jan2025</v>
      </c>
      <c r="C53" t="s">
        <v>21</v>
      </c>
      <c r="D53" t="s">
        <v>27</v>
      </c>
      <c r="E53" t="s">
        <v>19</v>
      </c>
      <c r="F53">
        <v>2025</v>
      </c>
      <c r="G53" t="s">
        <v>20</v>
      </c>
      <c r="H53">
        <v>643.95000000000005</v>
      </c>
      <c r="I53">
        <v>656.5</v>
      </c>
      <c r="J53">
        <v>641.20000000000005</v>
      </c>
      <c r="K53">
        <v>642.65</v>
      </c>
      <c r="L53">
        <v>644.95000000000005</v>
      </c>
      <c r="M53">
        <v>644.29999999999995</v>
      </c>
      <c r="N53">
        <v>648.6</v>
      </c>
      <c r="O53">
        <v>804.9</v>
      </c>
      <c r="P53">
        <v>404.15</v>
      </c>
      <c r="Q53">
        <v>3367231</v>
      </c>
      <c r="R53">
        <v>77242</v>
      </c>
    </row>
    <row r="54" spans="1:18" x14ac:dyDescent="0.25">
      <c r="A54" s="1">
        <v>45657</v>
      </c>
      <c r="B54" s="1" t="str">
        <f>TEXT(A54,"mmm"&amp;"yyy")</f>
        <v>Dec2024</v>
      </c>
      <c r="C54" t="s">
        <v>22</v>
      </c>
      <c r="D54" t="s">
        <v>28</v>
      </c>
      <c r="E54" t="s">
        <v>29</v>
      </c>
      <c r="F54">
        <v>2024</v>
      </c>
      <c r="G54" t="s">
        <v>20</v>
      </c>
      <c r="H54">
        <v>640</v>
      </c>
      <c r="I54">
        <v>645.15</v>
      </c>
      <c r="J54">
        <v>628</v>
      </c>
      <c r="K54">
        <v>643.5</v>
      </c>
      <c r="L54">
        <v>641.9</v>
      </c>
      <c r="M54">
        <v>642.65</v>
      </c>
      <c r="N54">
        <v>637.79</v>
      </c>
      <c r="O54">
        <v>804.9</v>
      </c>
      <c r="P54">
        <v>404.15</v>
      </c>
      <c r="Q54">
        <v>2131573</v>
      </c>
      <c r="R54">
        <v>59777</v>
      </c>
    </row>
    <row r="55" spans="1:18" x14ac:dyDescent="0.25">
      <c r="A55" s="1">
        <v>45656</v>
      </c>
      <c r="B55" s="1" t="str">
        <f>TEXT(A55,"mmm"&amp;"yyy")</f>
        <v>Dec2024</v>
      </c>
      <c r="C55" t="s">
        <v>23</v>
      </c>
      <c r="D55" t="s">
        <v>28</v>
      </c>
      <c r="E55" t="s">
        <v>29</v>
      </c>
      <c r="F55">
        <v>2024</v>
      </c>
      <c r="G55" t="s">
        <v>20</v>
      </c>
      <c r="H55">
        <v>651.95000000000005</v>
      </c>
      <c r="I55">
        <v>674</v>
      </c>
      <c r="J55">
        <v>631.25</v>
      </c>
      <c r="K55">
        <v>625.79999999999995</v>
      </c>
      <c r="L55">
        <v>642.29999999999995</v>
      </c>
      <c r="M55">
        <v>643.5</v>
      </c>
      <c r="N55">
        <v>650.47</v>
      </c>
      <c r="O55">
        <v>804.9</v>
      </c>
      <c r="P55">
        <v>404.15</v>
      </c>
      <c r="Q55">
        <v>20785156</v>
      </c>
      <c r="R55">
        <v>341707</v>
      </c>
    </row>
    <row r="56" spans="1:18" x14ac:dyDescent="0.25">
      <c r="A56" s="1">
        <v>45653</v>
      </c>
      <c r="B56" s="1" t="str">
        <f>TEXT(A56,"mmm"&amp;"yyy")</f>
        <v>Dec2024</v>
      </c>
      <c r="C56" t="s">
        <v>24</v>
      </c>
      <c r="D56" t="s">
        <v>28</v>
      </c>
      <c r="E56" t="s">
        <v>29</v>
      </c>
      <c r="F56">
        <v>2024</v>
      </c>
      <c r="G56" t="s">
        <v>20</v>
      </c>
      <c r="H56">
        <v>636.5</v>
      </c>
      <c r="I56">
        <v>641</v>
      </c>
      <c r="J56">
        <v>623.15</v>
      </c>
      <c r="K56">
        <v>636.5</v>
      </c>
      <c r="L56">
        <v>629.85</v>
      </c>
      <c r="M56">
        <v>625.79999999999995</v>
      </c>
      <c r="N56">
        <v>630.39</v>
      </c>
      <c r="O56">
        <v>804.9</v>
      </c>
      <c r="P56">
        <v>404.15</v>
      </c>
      <c r="Q56">
        <v>2088822</v>
      </c>
      <c r="R56">
        <v>55667</v>
      </c>
    </row>
    <row r="57" spans="1:18" x14ac:dyDescent="0.25">
      <c r="A57" s="1">
        <v>45652</v>
      </c>
      <c r="B57" s="1" t="str">
        <f>TEXT(A57,"mmm"&amp;"yyy")</f>
        <v>Dec2024</v>
      </c>
      <c r="C57" t="s">
        <v>17</v>
      </c>
      <c r="D57" t="s">
        <v>28</v>
      </c>
      <c r="E57" t="s">
        <v>29</v>
      </c>
      <c r="F57">
        <v>2024</v>
      </c>
      <c r="G57" t="s">
        <v>20</v>
      </c>
      <c r="H57">
        <v>650</v>
      </c>
      <c r="I57">
        <v>652.25</v>
      </c>
      <c r="J57">
        <v>631.1</v>
      </c>
      <c r="K57">
        <v>648.04999999999995</v>
      </c>
      <c r="L57">
        <v>636</v>
      </c>
      <c r="M57">
        <v>636.5</v>
      </c>
      <c r="N57">
        <v>637.95000000000005</v>
      </c>
      <c r="O57">
        <v>804.9</v>
      </c>
      <c r="P57">
        <v>404.15</v>
      </c>
      <c r="Q57">
        <v>1787870</v>
      </c>
      <c r="R57">
        <v>45740</v>
      </c>
    </row>
    <row r="58" spans="1:18" x14ac:dyDescent="0.25">
      <c r="A58" s="1">
        <v>45650</v>
      </c>
      <c r="B58" s="1" t="str">
        <f>TEXT(A58,"mmm"&amp;"yyy")</f>
        <v>Dec2024</v>
      </c>
      <c r="C58" t="s">
        <v>22</v>
      </c>
      <c r="D58" t="s">
        <v>28</v>
      </c>
      <c r="E58" t="s">
        <v>29</v>
      </c>
      <c r="F58">
        <v>2024</v>
      </c>
      <c r="G58" t="s">
        <v>20</v>
      </c>
      <c r="H58">
        <v>657.25</v>
      </c>
      <c r="I58">
        <v>661.9</v>
      </c>
      <c r="J58">
        <v>646</v>
      </c>
      <c r="K58">
        <v>659.7</v>
      </c>
      <c r="L58">
        <v>648.9</v>
      </c>
      <c r="M58">
        <v>648.04999999999995</v>
      </c>
      <c r="N58">
        <v>650.9</v>
      </c>
      <c r="O58">
        <v>804.9</v>
      </c>
      <c r="P58">
        <v>404.15</v>
      </c>
      <c r="Q58">
        <v>1920120</v>
      </c>
      <c r="R58">
        <v>50536</v>
      </c>
    </row>
    <row r="59" spans="1:18" x14ac:dyDescent="0.25">
      <c r="A59" s="1">
        <v>45649</v>
      </c>
      <c r="B59" s="1" t="str">
        <f>TEXT(A59,"mmm"&amp;"yyy")</f>
        <v>Dec2024</v>
      </c>
      <c r="C59" t="s">
        <v>23</v>
      </c>
      <c r="D59" t="s">
        <v>28</v>
      </c>
      <c r="E59" t="s">
        <v>29</v>
      </c>
      <c r="F59">
        <v>2024</v>
      </c>
      <c r="G59" t="s">
        <v>20</v>
      </c>
      <c r="H59">
        <v>677.85</v>
      </c>
      <c r="I59">
        <v>679.25</v>
      </c>
      <c r="J59">
        <v>656</v>
      </c>
      <c r="K59">
        <v>669.8</v>
      </c>
      <c r="L59">
        <v>659.8</v>
      </c>
      <c r="M59">
        <v>659.7</v>
      </c>
      <c r="N59">
        <v>665.49</v>
      </c>
      <c r="O59">
        <v>804.9</v>
      </c>
      <c r="P59">
        <v>404.15</v>
      </c>
      <c r="Q59">
        <v>1893360</v>
      </c>
      <c r="R59">
        <v>52738</v>
      </c>
    </row>
    <row r="60" spans="1:18" x14ac:dyDescent="0.25">
      <c r="A60" s="1">
        <v>45646</v>
      </c>
      <c r="B60" s="1" t="str">
        <f>TEXT(A60,"mmm"&amp;"yyy")</f>
        <v>Dec2024</v>
      </c>
      <c r="C60" t="s">
        <v>24</v>
      </c>
      <c r="D60" t="s">
        <v>28</v>
      </c>
      <c r="E60" t="s">
        <v>29</v>
      </c>
      <c r="F60">
        <v>2024</v>
      </c>
      <c r="G60" t="s">
        <v>20</v>
      </c>
      <c r="H60">
        <v>684.8</v>
      </c>
      <c r="I60">
        <v>686.3</v>
      </c>
      <c r="J60">
        <v>665</v>
      </c>
      <c r="K60">
        <v>685</v>
      </c>
      <c r="L60">
        <v>667.05</v>
      </c>
      <c r="M60">
        <v>669.8</v>
      </c>
      <c r="N60">
        <v>677.04</v>
      </c>
      <c r="O60">
        <v>804.9</v>
      </c>
      <c r="P60">
        <v>397.65</v>
      </c>
      <c r="Q60">
        <v>1314435</v>
      </c>
      <c r="R60">
        <v>44022</v>
      </c>
    </row>
    <row r="61" spans="1:18" x14ac:dyDescent="0.25">
      <c r="A61" s="1">
        <v>45645</v>
      </c>
      <c r="B61" s="1" t="str">
        <f>TEXT(A61,"mmm"&amp;"yyy")</f>
        <v>Dec2024</v>
      </c>
      <c r="C61" t="s">
        <v>17</v>
      </c>
      <c r="D61" t="s">
        <v>28</v>
      </c>
      <c r="E61" t="s">
        <v>29</v>
      </c>
      <c r="F61">
        <v>2024</v>
      </c>
      <c r="G61" t="s">
        <v>20</v>
      </c>
      <c r="H61">
        <v>670.95</v>
      </c>
      <c r="I61">
        <v>687</v>
      </c>
      <c r="J61">
        <v>667.9</v>
      </c>
      <c r="K61">
        <v>682.05</v>
      </c>
      <c r="L61">
        <v>686</v>
      </c>
      <c r="M61">
        <v>685</v>
      </c>
      <c r="N61">
        <v>680.29</v>
      </c>
      <c r="O61">
        <v>804.9</v>
      </c>
      <c r="P61">
        <v>397.65</v>
      </c>
      <c r="Q61">
        <v>1304358</v>
      </c>
      <c r="R61">
        <v>37081</v>
      </c>
    </row>
    <row r="62" spans="1:18" x14ac:dyDescent="0.25">
      <c r="A62" s="1">
        <v>45644</v>
      </c>
      <c r="B62" s="1" t="str">
        <f>TEXT(A62,"mmm"&amp;"yyy")</f>
        <v>Dec2024</v>
      </c>
      <c r="C62" t="s">
        <v>21</v>
      </c>
      <c r="D62" t="s">
        <v>28</v>
      </c>
      <c r="E62" t="s">
        <v>29</v>
      </c>
      <c r="F62">
        <v>2024</v>
      </c>
      <c r="G62" t="s">
        <v>20</v>
      </c>
      <c r="H62">
        <v>694.95</v>
      </c>
      <c r="I62">
        <v>700.9</v>
      </c>
      <c r="J62">
        <v>673.3</v>
      </c>
      <c r="K62">
        <v>685.15</v>
      </c>
      <c r="L62">
        <v>682.6</v>
      </c>
      <c r="M62">
        <v>682.05</v>
      </c>
      <c r="N62">
        <v>683.94</v>
      </c>
      <c r="O62">
        <v>804.9</v>
      </c>
      <c r="P62">
        <v>397.65</v>
      </c>
      <c r="Q62">
        <v>3218408</v>
      </c>
      <c r="R62">
        <v>86360</v>
      </c>
    </row>
    <row r="63" spans="1:18" x14ac:dyDescent="0.25">
      <c r="A63" s="1">
        <v>45643</v>
      </c>
      <c r="B63" s="1" t="str">
        <f>TEXT(A63,"mmm"&amp;"yyy")</f>
        <v>Dec2024</v>
      </c>
      <c r="C63" t="s">
        <v>22</v>
      </c>
      <c r="D63" t="s">
        <v>28</v>
      </c>
      <c r="E63" t="s">
        <v>29</v>
      </c>
      <c r="F63">
        <v>2024</v>
      </c>
      <c r="G63" t="s">
        <v>20</v>
      </c>
      <c r="H63">
        <v>683.1</v>
      </c>
      <c r="I63">
        <v>695.15</v>
      </c>
      <c r="J63">
        <v>680.3</v>
      </c>
      <c r="K63">
        <v>688.95</v>
      </c>
      <c r="L63">
        <v>682.7</v>
      </c>
      <c r="M63">
        <v>685.15</v>
      </c>
      <c r="N63">
        <v>687.82</v>
      </c>
      <c r="O63">
        <v>804.9</v>
      </c>
      <c r="P63">
        <v>397.65</v>
      </c>
      <c r="Q63">
        <v>1393661</v>
      </c>
      <c r="R63">
        <v>36881</v>
      </c>
    </row>
    <row r="64" spans="1:18" x14ac:dyDescent="0.25">
      <c r="A64" s="1">
        <v>45642</v>
      </c>
      <c r="B64" s="1" t="str">
        <f>TEXT(A64,"mmm"&amp;"yyy")</f>
        <v>Dec2024</v>
      </c>
      <c r="C64" t="s">
        <v>23</v>
      </c>
      <c r="D64" t="s">
        <v>28</v>
      </c>
      <c r="E64" t="s">
        <v>29</v>
      </c>
      <c r="F64">
        <v>2024</v>
      </c>
      <c r="G64" t="s">
        <v>20</v>
      </c>
      <c r="H64">
        <v>685</v>
      </c>
      <c r="I64">
        <v>699.8</v>
      </c>
      <c r="J64">
        <v>682.3</v>
      </c>
      <c r="K64">
        <v>678.6</v>
      </c>
      <c r="L64">
        <v>686.5</v>
      </c>
      <c r="M64">
        <v>688.95</v>
      </c>
      <c r="N64">
        <v>691.26</v>
      </c>
      <c r="O64">
        <v>804.9</v>
      </c>
      <c r="P64">
        <v>397.65</v>
      </c>
      <c r="Q64">
        <v>3476918</v>
      </c>
      <c r="R64">
        <v>82524</v>
      </c>
    </row>
    <row r="65" spans="1:18" x14ac:dyDescent="0.25">
      <c r="A65" s="1">
        <v>45639</v>
      </c>
      <c r="B65" s="1" t="str">
        <f>TEXT(A65,"mmm"&amp;"yyy")</f>
        <v>Dec2024</v>
      </c>
      <c r="C65" t="s">
        <v>24</v>
      </c>
      <c r="D65" t="s">
        <v>28</v>
      </c>
      <c r="E65" t="s">
        <v>29</v>
      </c>
      <c r="F65">
        <v>2024</v>
      </c>
      <c r="G65" t="s">
        <v>20</v>
      </c>
      <c r="H65">
        <v>679</v>
      </c>
      <c r="I65">
        <v>683.9</v>
      </c>
      <c r="J65">
        <v>664.35</v>
      </c>
      <c r="K65">
        <v>685.25</v>
      </c>
      <c r="L65">
        <v>678</v>
      </c>
      <c r="M65">
        <v>678.6</v>
      </c>
      <c r="N65">
        <v>675.62</v>
      </c>
      <c r="O65">
        <v>804.9</v>
      </c>
      <c r="P65">
        <v>397.65</v>
      </c>
      <c r="Q65">
        <v>1909847</v>
      </c>
      <c r="R65">
        <v>65171</v>
      </c>
    </row>
    <row r="66" spans="1:18" x14ac:dyDescent="0.25">
      <c r="A66" s="1">
        <v>45638</v>
      </c>
      <c r="B66" s="1" t="str">
        <f>TEXT(A66,"mmm"&amp;"yyy")</f>
        <v>Dec2024</v>
      </c>
      <c r="C66" t="s">
        <v>17</v>
      </c>
      <c r="D66" t="s">
        <v>28</v>
      </c>
      <c r="E66" t="s">
        <v>29</v>
      </c>
      <c r="F66">
        <v>2024</v>
      </c>
      <c r="G66" t="s">
        <v>20</v>
      </c>
      <c r="H66">
        <v>678.5</v>
      </c>
      <c r="I66">
        <v>687.3</v>
      </c>
      <c r="J66">
        <v>671.25</v>
      </c>
      <c r="K66">
        <v>677.6</v>
      </c>
      <c r="L66">
        <v>686.2</v>
      </c>
      <c r="M66">
        <v>685.25</v>
      </c>
      <c r="N66">
        <v>681.6</v>
      </c>
      <c r="O66">
        <v>804.9</v>
      </c>
      <c r="P66">
        <v>397.65</v>
      </c>
      <c r="Q66">
        <v>2023609</v>
      </c>
      <c r="R66">
        <v>50316</v>
      </c>
    </row>
    <row r="67" spans="1:18" x14ac:dyDescent="0.25">
      <c r="A67" s="1">
        <v>45637</v>
      </c>
      <c r="B67" s="1" t="str">
        <f>TEXT(A67,"mmm"&amp;"yyy")</f>
        <v>Dec2024</v>
      </c>
      <c r="C67" t="s">
        <v>21</v>
      </c>
      <c r="D67" t="s">
        <v>28</v>
      </c>
      <c r="E67" t="s">
        <v>29</v>
      </c>
      <c r="F67">
        <v>2024</v>
      </c>
      <c r="G67" t="s">
        <v>20</v>
      </c>
      <c r="H67">
        <v>668.7</v>
      </c>
      <c r="I67">
        <v>682</v>
      </c>
      <c r="J67">
        <v>668.5</v>
      </c>
      <c r="K67">
        <v>668</v>
      </c>
      <c r="L67">
        <v>678</v>
      </c>
      <c r="M67">
        <v>677.6</v>
      </c>
      <c r="N67">
        <v>676.86</v>
      </c>
      <c r="O67">
        <v>804.9</v>
      </c>
      <c r="P67">
        <v>397.65</v>
      </c>
      <c r="Q67">
        <v>2088984</v>
      </c>
      <c r="R67">
        <v>52543</v>
      </c>
    </row>
    <row r="68" spans="1:18" x14ac:dyDescent="0.25">
      <c r="A68" s="1">
        <v>45636</v>
      </c>
      <c r="B68" s="1" t="str">
        <f>TEXT(A68,"mmm"&amp;"yyy")</f>
        <v>Dec2024</v>
      </c>
      <c r="C68" t="s">
        <v>22</v>
      </c>
      <c r="D68" t="s">
        <v>28</v>
      </c>
      <c r="E68" t="s">
        <v>29</v>
      </c>
      <c r="F68">
        <v>2024</v>
      </c>
      <c r="G68" t="s">
        <v>20</v>
      </c>
      <c r="H68">
        <v>673</v>
      </c>
      <c r="I68">
        <v>677.25</v>
      </c>
      <c r="J68">
        <v>659.9</v>
      </c>
      <c r="K68">
        <v>675.2</v>
      </c>
      <c r="L68">
        <v>669.9</v>
      </c>
      <c r="M68">
        <v>668</v>
      </c>
      <c r="N68">
        <v>667.27</v>
      </c>
      <c r="O68">
        <v>804.9</v>
      </c>
      <c r="P68">
        <v>397.65</v>
      </c>
      <c r="Q68">
        <v>1923930</v>
      </c>
      <c r="R68">
        <v>44433</v>
      </c>
    </row>
    <row r="69" spans="1:18" x14ac:dyDescent="0.25">
      <c r="A69" s="1">
        <v>45635</v>
      </c>
      <c r="B69" s="1" t="str">
        <f>TEXT(A69,"mmm"&amp;"yyy")</f>
        <v>Dec2024</v>
      </c>
      <c r="C69" t="s">
        <v>23</v>
      </c>
      <c r="D69" t="s">
        <v>28</v>
      </c>
      <c r="E69" t="s">
        <v>29</v>
      </c>
      <c r="F69">
        <v>2024</v>
      </c>
      <c r="G69" t="s">
        <v>20</v>
      </c>
      <c r="H69">
        <v>684.9</v>
      </c>
      <c r="I69">
        <v>688</v>
      </c>
      <c r="J69">
        <v>667.5</v>
      </c>
      <c r="K69">
        <v>674.35</v>
      </c>
      <c r="L69">
        <v>676.2</v>
      </c>
      <c r="M69">
        <v>675.2</v>
      </c>
      <c r="N69">
        <v>678.12</v>
      </c>
      <c r="O69">
        <v>804.9</v>
      </c>
      <c r="P69">
        <v>397.65</v>
      </c>
      <c r="Q69">
        <v>3433293</v>
      </c>
      <c r="R69">
        <v>81362</v>
      </c>
    </row>
    <row r="70" spans="1:18" x14ac:dyDescent="0.25">
      <c r="A70" s="1">
        <v>45632</v>
      </c>
      <c r="B70" s="1" t="str">
        <f>TEXT(A70,"mmm"&amp;"yyy")</f>
        <v>Dec2024</v>
      </c>
      <c r="C70" t="s">
        <v>24</v>
      </c>
      <c r="D70" t="s">
        <v>28</v>
      </c>
      <c r="E70" t="s">
        <v>29</v>
      </c>
      <c r="F70">
        <v>2024</v>
      </c>
      <c r="G70" t="s">
        <v>20</v>
      </c>
      <c r="H70">
        <v>670</v>
      </c>
      <c r="I70">
        <v>680</v>
      </c>
      <c r="J70">
        <v>665.05</v>
      </c>
      <c r="K70">
        <v>664.15</v>
      </c>
      <c r="L70">
        <v>675.05</v>
      </c>
      <c r="M70">
        <v>674.35</v>
      </c>
      <c r="N70">
        <v>672.86</v>
      </c>
      <c r="O70">
        <v>804.9</v>
      </c>
      <c r="P70">
        <v>397.65</v>
      </c>
      <c r="Q70">
        <v>3294934</v>
      </c>
      <c r="R70">
        <v>78745</v>
      </c>
    </row>
    <row r="71" spans="1:18" x14ac:dyDescent="0.25">
      <c r="A71" s="1">
        <v>45631</v>
      </c>
      <c r="B71" s="1" t="str">
        <f>TEXT(A71,"mmm"&amp;"yyy")</f>
        <v>Dec2024</v>
      </c>
      <c r="C71" t="s">
        <v>17</v>
      </c>
      <c r="D71" t="s">
        <v>28</v>
      </c>
      <c r="E71" t="s">
        <v>29</v>
      </c>
      <c r="F71">
        <v>2024</v>
      </c>
      <c r="G71" t="s">
        <v>20</v>
      </c>
      <c r="H71">
        <v>651.4</v>
      </c>
      <c r="I71">
        <v>667.15</v>
      </c>
      <c r="J71">
        <v>646.5</v>
      </c>
      <c r="K71">
        <v>648.4</v>
      </c>
      <c r="L71">
        <v>665.95</v>
      </c>
      <c r="M71">
        <v>664.15</v>
      </c>
      <c r="N71">
        <v>659.34</v>
      </c>
      <c r="O71">
        <v>804.9</v>
      </c>
      <c r="P71">
        <v>397.65</v>
      </c>
      <c r="Q71">
        <v>4523984</v>
      </c>
      <c r="R71">
        <v>101629</v>
      </c>
    </row>
    <row r="72" spans="1:18" x14ac:dyDescent="0.25">
      <c r="A72" s="1">
        <v>45630</v>
      </c>
      <c r="B72" s="1" t="str">
        <f>TEXT(A72,"mmm"&amp;"yyy")</f>
        <v>Dec2024</v>
      </c>
      <c r="C72" t="s">
        <v>21</v>
      </c>
      <c r="D72" t="s">
        <v>28</v>
      </c>
      <c r="E72" t="s">
        <v>29</v>
      </c>
      <c r="F72">
        <v>2024</v>
      </c>
      <c r="G72" t="s">
        <v>20</v>
      </c>
      <c r="H72">
        <v>652.04999999999995</v>
      </c>
      <c r="I72">
        <v>654</v>
      </c>
      <c r="J72">
        <v>640.25</v>
      </c>
      <c r="K72">
        <v>642.95000000000005</v>
      </c>
      <c r="L72">
        <v>649</v>
      </c>
      <c r="M72">
        <v>648.4</v>
      </c>
      <c r="N72">
        <v>646.55999999999995</v>
      </c>
      <c r="O72">
        <v>804.9</v>
      </c>
      <c r="P72">
        <v>397.65</v>
      </c>
      <c r="Q72">
        <v>2887694</v>
      </c>
      <c r="R72">
        <v>80007</v>
      </c>
    </row>
    <row r="73" spans="1:18" x14ac:dyDescent="0.25">
      <c r="A73" s="1">
        <v>45629</v>
      </c>
      <c r="B73" s="1" t="str">
        <f>TEXT(A73,"mmm"&amp;"yyy")</f>
        <v>Dec2024</v>
      </c>
      <c r="C73" t="s">
        <v>22</v>
      </c>
      <c r="D73" t="s">
        <v>28</v>
      </c>
      <c r="E73" t="s">
        <v>29</v>
      </c>
      <c r="F73">
        <v>2024</v>
      </c>
      <c r="G73" t="s">
        <v>20</v>
      </c>
      <c r="H73">
        <v>653.20000000000005</v>
      </c>
      <c r="I73">
        <v>657.9</v>
      </c>
      <c r="J73">
        <v>642.1</v>
      </c>
      <c r="K73">
        <v>645.65</v>
      </c>
      <c r="L73">
        <v>643.45000000000005</v>
      </c>
      <c r="M73">
        <v>642.95000000000005</v>
      </c>
      <c r="N73">
        <v>647.95000000000005</v>
      </c>
      <c r="O73">
        <v>804.9</v>
      </c>
      <c r="P73">
        <v>397.65</v>
      </c>
      <c r="Q73">
        <v>1804001</v>
      </c>
      <c r="R73">
        <v>70751</v>
      </c>
    </row>
    <row r="74" spans="1:18" x14ac:dyDescent="0.25">
      <c r="A74" s="1">
        <v>45628</v>
      </c>
      <c r="B74" s="1" t="str">
        <f>TEXT(A74,"mmm"&amp;"yyy")</f>
        <v>Dec2024</v>
      </c>
      <c r="C74" t="s">
        <v>23</v>
      </c>
      <c r="D74" t="s">
        <v>28</v>
      </c>
      <c r="E74" t="s">
        <v>29</v>
      </c>
      <c r="F74">
        <v>2024</v>
      </c>
      <c r="G74" t="s">
        <v>20</v>
      </c>
      <c r="H74">
        <v>655</v>
      </c>
      <c r="I74">
        <v>660.2</v>
      </c>
      <c r="J74">
        <v>642.5</v>
      </c>
      <c r="K74">
        <v>654.65</v>
      </c>
      <c r="L74">
        <v>645.75</v>
      </c>
      <c r="M74">
        <v>645.65</v>
      </c>
      <c r="N74">
        <v>647.08000000000004</v>
      </c>
      <c r="O74">
        <v>804.9</v>
      </c>
      <c r="P74">
        <v>397.65</v>
      </c>
      <c r="Q74">
        <v>1824349</v>
      </c>
      <c r="R74">
        <v>61411</v>
      </c>
    </row>
    <row r="75" spans="1:18" x14ac:dyDescent="0.25">
      <c r="A75" s="1">
        <v>45625</v>
      </c>
      <c r="B75" s="1" t="str">
        <f>TEXT(A75,"mmm"&amp;"yyy")</f>
        <v>Nov2024</v>
      </c>
      <c r="C75" t="s">
        <v>24</v>
      </c>
      <c r="D75" t="s">
        <v>30</v>
      </c>
      <c r="E75" t="s">
        <v>29</v>
      </c>
      <c r="F75">
        <v>2024</v>
      </c>
      <c r="G75" t="s">
        <v>20</v>
      </c>
      <c r="H75">
        <v>665</v>
      </c>
      <c r="I75">
        <v>670.4</v>
      </c>
      <c r="J75">
        <v>648.04999999999995</v>
      </c>
      <c r="K75">
        <v>662.8</v>
      </c>
      <c r="L75">
        <v>654.79999999999995</v>
      </c>
      <c r="M75">
        <v>654.65</v>
      </c>
      <c r="N75">
        <v>656.05</v>
      </c>
      <c r="O75">
        <v>804.9</v>
      </c>
      <c r="P75">
        <v>397.65</v>
      </c>
      <c r="Q75">
        <v>2099488</v>
      </c>
      <c r="R75">
        <v>73468</v>
      </c>
    </row>
    <row r="76" spans="1:18" x14ac:dyDescent="0.25">
      <c r="A76" s="1">
        <v>45624</v>
      </c>
      <c r="B76" s="1" t="str">
        <f>TEXT(A76,"mmm"&amp;"yyy")</f>
        <v>Nov2024</v>
      </c>
      <c r="C76" t="s">
        <v>17</v>
      </c>
      <c r="D76" t="s">
        <v>30</v>
      </c>
      <c r="E76" t="s">
        <v>29</v>
      </c>
      <c r="F76">
        <v>2024</v>
      </c>
      <c r="G76" t="s">
        <v>20</v>
      </c>
      <c r="H76">
        <v>676.5</v>
      </c>
      <c r="I76">
        <v>679.35</v>
      </c>
      <c r="J76">
        <v>660.25</v>
      </c>
      <c r="K76">
        <v>673.3</v>
      </c>
      <c r="L76">
        <v>665</v>
      </c>
      <c r="M76">
        <v>662.8</v>
      </c>
      <c r="N76">
        <v>669.19</v>
      </c>
      <c r="O76">
        <v>804.9</v>
      </c>
      <c r="P76">
        <v>397.65</v>
      </c>
      <c r="Q76">
        <v>1415045</v>
      </c>
      <c r="R76">
        <v>53044</v>
      </c>
    </row>
    <row r="77" spans="1:18" x14ac:dyDescent="0.25">
      <c r="A77" s="1">
        <v>45623</v>
      </c>
      <c r="B77" s="1" t="str">
        <f>TEXT(A77,"mmm"&amp;"yyy")</f>
        <v>Nov2024</v>
      </c>
      <c r="C77" t="s">
        <v>21</v>
      </c>
      <c r="D77" t="s">
        <v>30</v>
      </c>
      <c r="E77" t="s">
        <v>29</v>
      </c>
      <c r="F77">
        <v>2024</v>
      </c>
      <c r="G77" t="s">
        <v>20</v>
      </c>
      <c r="H77">
        <v>659.8</v>
      </c>
      <c r="I77">
        <v>676.2</v>
      </c>
      <c r="J77">
        <v>653.35</v>
      </c>
      <c r="K77">
        <v>657.4</v>
      </c>
      <c r="L77">
        <v>672.5</v>
      </c>
      <c r="M77">
        <v>673.3</v>
      </c>
      <c r="N77">
        <v>665.61</v>
      </c>
      <c r="O77">
        <v>804.9</v>
      </c>
      <c r="P77">
        <v>397.65</v>
      </c>
      <c r="Q77">
        <v>2014123</v>
      </c>
      <c r="R77">
        <v>63941</v>
      </c>
    </row>
    <row r="78" spans="1:18" x14ac:dyDescent="0.25">
      <c r="A78" s="1">
        <v>45622</v>
      </c>
      <c r="B78" s="1" t="str">
        <f>TEXT(A78,"mmm"&amp;"yyy")</f>
        <v>Nov2024</v>
      </c>
      <c r="C78" t="s">
        <v>22</v>
      </c>
      <c r="D78" t="s">
        <v>30</v>
      </c>
      <c r="E78" t="s">
        <v>29</v>
      </c>
      <c r="F78">
        <v>2024</v>
      </c>
      <c r="G78" t="s">
        <v>20</v>
      </c>
      <c r="H78">
        <v>670.95</v>
      </c>
      <c r="I78">
        <v>676.45</v>
      </c>
      <c r="J78">
        <v>651</v>
      </c>
      <c r="K78">
        <v>675.05</v>
      </c>
      <c r="L78">
        <v>656.35</v>
      </c>
      <c r="M78">
        <v>657.4</v>
      </c>
      <c r="N78">
        <v>664.7</v>
      </c>
      <c r="O78">
        <v>804.9</v>
      </c>
      <c r="P78">
        <v>397.65</v>
      </c>
      <c r="Q78">
        <v>1918499</v>
      </c>
      <c r="R78">
        <v>74107</v>
      </c>
    </row>
    <row r="79" spans="1:18" x14ac:dyDescent="0.25">
      <c r="A79" s="1">
        <v>45621</v>
      </c>
      <c r="B79" s="1" t="str">
        <f>TEXT(A79,"mmm"&amp;"yyy")</f>
        <v>Nov2024</v>
      </c>
      <c r="C79" t="s">
        <v>23</v>
      </c>
      <c r="D79" t="s">
        <v>30</v>
      </c>
      <c r="E79" t="s">
        <v>29</v>
      </c>
      <c r="F79">
        <v>2024</v>
      </c>
      <c r="G79" t="s">
        <v>20</v>
      </c>
      <c r="H79">
        <v>705</v>
      </c>
      <c r="I79">
        <v>711.5</v>
      </c>
      <c r="J79">
        <v>665.8</v>
      </c>
      <c r="K79">
        <v>688.9</v>
      </c>
      <c r="L79">
        <v>666.5</v>
      </c>
      <c r="M79">
        <v>675.05</v>
      </c>
      <c r="N79">
        <v>679.41</v>
      </c>
      <c r="O79">
        <v>804.9</v>
      </c>
      <c r="P79">
        <v>397.65</v>
      </c>
      <c r="Q79">
        <v>13593681</v>
      </c>
      <c r="R79">
        <v>172232</v>
      </c>
    </row>
    <row r="80" spans="1:18" x14ac:dyDescent="0.25">
      <c r="A80" s="1">
        <v>45618</v>
      </c>
      <c r="B80" s="1" t="str">
        <f>TEXT(A80,"mmm"&amp;"yyy")</f>
        <v>Nov2024</v>
      </c>
      <c r="C80" t="s">
        <v>24</v>
      </c>
      <c r="D80" t="s">
        <v>30</v>
      </c>
      <c r="E80" t="s">
        <v>29</v>
      </c>
      <c r="F80">
        <v>2024</v>
      </c>
      <c r="G80" t="s">
        <v>20</v>
      </c>
      <c r="H80">
        <v>700.95</v>
      </c>
      <c r="I80">
        <v>703.8</v>
      </c>
      <c r="J80">
        <v>682.1</v>
      </c>
      <c r="K80">
        <v>699.15</v>
      </c>
      <c r="L80">
        <v>690.5</v>
      </c>
      <c r="M80">
        <v>688.9</v>
      </c>
      <c r="N80">
        <v>693.19</v>
      </c>
      <c r="O80">
        <v>804.9</v>
      </c>
      <c r="P80">
        <v>395</v>
      </c>
      <c r="Q80">
        <v>1439252</v>
      </c>
      <c r="R80">
        <v>66563</v>
      </c>
    </row>
    <row r="81" spans="1:18" x14ac:dyDescent="0.25">
      <c r="A81" s="1">
        <v>45617</v>
      </c>
      <c r="B81" s="1" t="str">
        <f>TEXT(A81,"mmm"&amp;"yyy")</f>
        <v>Nov2024</v>
      </c>
      <c r="C81" t="s">
        <v>17</v>
      </c>
      <c r="D81" t="s">
        <v>30</v>
      </c>
      <c r="E81" t="s">
        <v>29</v>
      </c>
      <c r="F81">
        <v>2024</v>
      </c>
      <c r="G81" t="s">
        <v>20</v>
      </c>
      <c r="H81">
        <v>704</v>
      </c>
      <c r="I81">
        <v>709</v>
      </c>
      <c r="J81">
        <v>683</v>
      </c>
      <c r="K81">
        <v>709.9</v>
      </c>
      <c r="L81">
        <v>701</v>
      </c>
      <c r="M81">
        <v>699.15</v>
      </c>
      <c r="N81">
        <v>693.38</v>
      </c>
      <c r="O81">
        <v>804.9</v>
      </c>
      <c r="P81">
        <v>395</v>
      </c>
      <c r="Q81">
        <v>1946451</v>
      </c>
      <c r="R81">
        <v>79055</v>
      </c>
    </row>
    <row r="82" spans="1:18" x14ac:dyDescent="0.25">
      <c r="A82" s="1">
        <v>45615</v>
      </c>
      <c r="B82" s="1" t="str">
        <f>TEXT(A82,"mmm"&amp;"yyy")</f>
        <v>Nov2024</v>
      </c>
      <c r="C82" t="s">
        <v>22</v>
      </c>
      <c r="D82" t="s">
        <v>30</v>
      </c>
      <c r="E82" t="s">
        <v>29</v>
      </c>
      <c r="F82">
        <v>2024</v>
      </c>
      <c r="G82" t="s">
        <v>20</v>
      </c>
      <c r="H82">
        <v>718</v>
      </c>
      <c r="I82">
        <v>718.7</v>
      </c>
      <c r="J82">
        <v>706</v>
      </c>
      <c r="K82">
        <v>712.8</v>
      </c>
      <c r="L82">
        <v>708.5</v>
      </c>
      <c r="M82">
        <v>709.9</v>
      </c>
      <c r="N82">
        <v>711.45</v>
      </c>
      <c r="O82">
        <v>804.9</v>
      </c>
      <c r="P82">
        <v>395</v>
      </c>
      <c r="Q82">
        <v>1355756</v>
      </c>
      <c r="R82">
        <v>48833</v>
      </c>
    </row>
    <row r="83" spans="1:18" x14ac:dyDescent="0.25">
      <c r="A83" s="1">
        <v>45614</v>
      </c>
      <c r="B83" s="1" t="str">
        <f>TEXT(A83,"mmm"&amp;"yyy")</f>
        <v>Nov2024</v>
      </c>
      <c r="C83" t="s">
        <v>23</v>
      </c>
      <c r="D83" t="s">
        <v>30</v>
      </c>
      <c r="E83" t="s">
        <v>29</v>
      </c>
      <c r="F83">
        <v>2024</v>
      </c>
      <c r="G83" t="s">
        <v>20</v>
      </c>
      <c r="H83">
        <v>736</v>
      </c>
      <c r="I83">
        <v>746.25</v>
      </c>
      <c r="J83">
        <v>707.5</v>
      </c>
      <c r="K83">
        <v>732</v>
      </c>
      <c r="L83">
        <v>711.25</v>
      </c>
      <c r="M83">
        <v>712.8</v>
      </c>
      <c r="N83">
        <v>722.45</v>
      </c>
      <c r="O83">
        <v>804.9</v>
      </c>
      <c r="P83">
        <v>395</v>
      </c>
      <c r="Q83">
        <v>2123986</v>
      </c>
      <c r="R83">
        <v>130453</v>
      </c>
    </row>
    <row r="84" spans="1:18" x14ac:dyDescent="0.25">
      <c r="A84" s="1">
        <v>45610</v>
      </c>
      <c r="B84" s="1" t="str">
        <f>TEXT(A84,"mmm"&amp;"yyy")</f>
        <v>Nov2024</v>
      </c>
      <c r="C84" t="s">
        <v>17</v>
      </c>
      <c r="D84" t="s">
        <v>30</v>
      </c>
      <c r="E84" t="s">
        <v>29</v>
      </c>
      <c r="F84">
        <v>2024</v>
      </c>
      <c r="G84" t="s">
        <v>20</v>
      </c>
      <c r="H84">
        <v>734.9</v>
      </c>
      <c r="I84">
        <v>748.95</v>
      </c>
      <c r="J84">
        <v>718.75</v>
      </c>
      <c r="K84">
        <v>728.95</v>
      </c>
      <c r="L84">
        <v>732</v>
      </c>
      <c r="M84">
        <v>732</v>
      </c>
      <c r="N84">
        <v>731.92</v>
      </c>
      <c r="O84">
        <v>804.9</v>
      </c>
      <c r="P84">
        <v>385</v>
      </c>
      <c r="Q84">
        <v>2339209</v>
      </c>
      <c r="R84">
        <v>109990</v>
      </c>
    </row>
    <row r="85" spans="1:18" x14ac:dyDescent="0.25">
      <c r="A85" s="1">
        <v>45609</v>
      </c>
      <c r="B85" s="1" t="str">
        <f>TEXT(A85,"mmm"&amp;"yyy")</f>
        <v>Nov2024</v>
      </c>
      <c r="C85" t="s">
        <v>21</v>
      </c>
      <c r="D85" t="s">
        <v>30</v>
      </c>
      <c r="E85" t="s">
        <v>29</v>
      </c>
      <c r="F85">
        <v>2024</v>
      </c>
      <c r="G85" t="s">
        <v>20</v>
      </c>
      <c r="H85">
        <v>749.95</v>
      </c>
      <c r="I85">
        <v>774.9</v>
      </c>
      <c r="J85">
        <v>722.1</v>
      </c>
      <c r="K85">
        <v>750.05</v>
      </c>
      <c r="L85">
        <v>734.9</v>
      </c>
      <c r="M85">
        <v>728.95</v>
      </c>
      <c r="N85">
        <v>754.39</v>
      </c>
      <c r="O85">
        <v>804.9</v>
      </c>
      <c r="P85">
        <v>385</v>
      </c>
      <c r="Q85">
        <v>5348473</v>
      </c>
      <c r="R85">
        <v>170214</v>
      </c>
    </row>
    <row r="86" spans="1:18" x14ac:dyDescent="0.25">
      <c r="A86" s="1">
        <v>45608</v>
      </c>
      <c r="B86" s="1" t="str">
        <f>TEXT(A86,"mmm"&amp;"yyy")</f>
        <v>Nov2024</v>
      </c>
      <c r="C86" t="s">
        <v>22</v>
      </c>
      <c r="D86" t="s">
        <v>30</v>
      </c>
      <c r="E86" t="s">
        <v>29</v>
      </c>
      <c r="F86">
        <v>2024</v>
      </c>
      <c r="G86" t="s">
        <v>20</v>
      </c>
      <c r="H86">
        <v>739.95</v>
      </c>
      <c r="I86">
        <v>776.9</v>
      </c>
      <c r="J86">
        <v>739.3</v>
      </c>
      <c r="K86">
        <v>739.25</v>
      </c>
      <c r="L86">
        <v>745</v>
      </c>
      <c r="M86">
        <v>750.05</v>
      </c>
      <c r="N86">
        <v>759.12</v>
      </c>
      <c r="O86">
        <v>804.9</v>
      </c>
      <c r="P86">
        <v>385</v>
      </c>
      <c r="Q86">
        <v>5503743</v>
      </c>
      <c r="R86">
        <v>147944</v>
      </c>
    </row>
    <row r="87" spans="1:18" x14ac:dyDescent="0.25">
      <c r="A87" s="1">
        <v>45607</v>
      </c>
      <c r="B87" s="1" t="str">
        <f>TEXT(A87,"mmm"&amp;"yyy")</f>
        <v>Nov2024</v>
      </c>
      <c r="C87" t="s">
        <v>23</v>
      </c>
      <c r="D87" t="s">
        <v>30</v>
      </c>
      <c r="E87" t="s">
        <v>29</v>
      </c>
      <c r="F87">
        <v>2024</v>
      </c>
      <c r="G87" t="s">
        <v>20</v>
      </c>
      <c r="H87">
        <v>709.85</v>
      </c>
      <c r="I87">
        <v>751.6</v>
      </c>
      <c r="J87">
        <v>706.15</v>
      </c>
      <c r="K87">
        <v>712.05</v>
      </c>
      <c r="L87">
        <v>740</v>
      </c>
      <c r="M87">
        <v>739.25</v>
      </c>
      <c r="N87">
        <v>742.23</v>
      </c>
      <c r="O87">
        <v>804.9</v>
      </c>
      <c r="P87">
        <v>385</v>
      </c>
      <c r="Q87">
        <v>5360345</v>
      </c>
      <c r="R87">
        <v>158668</v>
      </c>
    </row>
    <row r="88" spans="1:18" x14ac:dyDescent="0.25">
      <c r="A88" s="1">
        <v>45604</v>
      </c>
      <c r="B88" s="1" t="str">
        <f>TEXT(A88,"mmm"&amp;"yyy")</f>
        <v>Nov2024</v>
      </c>
      <c r="C88" t="s">
        <v>24</v>
      </c>
      <c r="D88" t="s">
        <v>30</v>
      </c>
      <c r="E88" t="s">
        <v>29</v>
      </c>
      <c r="F88">
        <v>2024</v>
      </c>
      <c r="G88" t="s">
        <v>20</v>
      </c>
      <c r="H88">
        <v>721</v>
      </c>
      <c r="I88">
        <v>721.6</v>
      </c>
      <c r="J88">
        <v>709</v>
      </c>
      <c r="K88">
        <v>714.8</v>
      </c>
      <c r="L88">
        <v>711.35</v>
      </c>
      <c r="M88">
        <v>712.05</v>
      </c>
      <c r="N88">
        <v>714.5</v>
      </c>
      <c r="O88">
        <v>804.9</v>
      </c>
      <c r="P88">
        <v>378.5</v>
      </c>
      <c r="Q88">
        <v>2004021</v>
      </c>
      <c r="R88">
        <v>57402</v>
      </c>
    </row>
    <row r="89" spans="1:18" x14ac:dyDescent="0.25">
      <c r="A89" s="1">
        <v>45603</v>
      </c>
      <c r="B89" s="1" t="str">
        <f>TEXT(A89,"mmm"&amp;"yyy")</f>
        <v>Nov2024</v>
      </c>
      <c r="C89" t="s">
        <v>17</v>
      </c>
      <c r="D89" t="s">
        <v>30</v>
      </c>
      <c r="E89" t="s">
        <v>29</v>
      </c>
      <c r="F89">
        <v>2024</v>
      </c>
      <c r="G89" t="s">
        <v>20</v>
      </c>
      <c r="H89">
        <v>691</v>
      </c>
      <c r="I89">
        <v>721.85</v>
      </c>
      <c r="J89">
        <v>687.15</v>
      </c>
      <c r="K89">
        <v>682.6</v>
      </c>
      <c r="L89">
        <v>714.55</v>
      </c>
      <c r="M89">
        <v>714.8</v>
      </c>
      <c r="N89">
        <v>713.05</v>
      </c>
      <c r="O89">
        <v>804.9</v>
      </c>
      <c r="P89">
        <v>378.5</v>
      </c>
      <c r="Q89">
        <v>5700061</v>
      </c>
      <c r="R89">
        <v>146401</v>
      </c>
    </row>
    <row r="90" spans="1:18" x14ac:dyDescent="0.25">
      <c r="A90" s="1">
        <v>45602</v>
      </c>
      <c r="B90" s="1" t="str">
        <f>TEXT(A90,"mmm"&amp;"yyy")</f>
        <v>Nov2024</v>
      </c>
      <c r="C90" t="s">
        <v>21</v>
      </c>
      <c r="D90" t="s">
        <v>30</v>
      </c>
      <c r="E90" t="s">
        <v>29</v>
      </c>
      <c r="F90">
        <v>2024</v>
      </c>
      <c r="G90" t="s">
        <v>20</v>
      </c>
      <c r="H90">
        <v>660.95</v>
      </c>
      <c r="I90">
        <v>686</v>
      </c>
      <c r="J90">
        <v>660</v>
      </c>
      <c r="K90">
        <v>654.79999999999995</v>
      </c>
      <c r="L90">
        <v>684.95</v>
      </c>
      <c r="M90">
        <v>682.6</v>
      </c>
      <c r="N90">
        <v>677.15</v>
      </c>
      <c r="O90">
        <v>804.9</v>
      </c>
      <c r="P90">
        <v>378.5</v>
      </c>
      <c r="Q90">
        <v>2382791</v>
      </c>
      <c r="R90">
        <v>97945</v>
      </c>
    </row>
    <row r="91" spans="1:18" x14ac:dyDescent="0.25">
      <c r="A91" s="1">
        <v>45601</v>
      </c>
      <c r="B91" s="1" t="str">
        <f>TEXT(A91,"mmm"&amp;"yyy")</f>
        <v>Nov2024</v>
      </c>
      <c r="C91" t="s">
        <v>22</v>
      </c>
      <c r="D91" t="s">
        <v>30</v>
      </c>
      <c r="E91" t="s">
        <v>29</v>
      </c>
      <c r="F91">
        <v>2024</v>
      </c>
      <c r="G91" t="s">
        <v>20</v>
      </c>
      <c r="H91">
        <v>664</v>
      </c>
      <c r="I91">
        <v>666.95</v>
      </c>
      <c r="J91">
        <v>652.1</v>
      </c>
      <c r="K91">
        <v>663.15</v>
      </c>
      <c r="L91">
        <v>655</v>
      </c>
      <c r="M91">
        <v>654.79999999999995</v>
      </c>
      <c r="N91">
        <v>656.94</v>
      </c>
      <c r="O91">
        <v>804.9</v>
      </c>
      <c r="P91">
        <v>378.5</v>
      </c>
      <c r="Q91">
        <v>1255375</v>
      </c>
      <c r="R91">
        <v>56670</v>
      </c>
    </row>
    <row r="92" spans="1:18" x14ac:dyDescent="0.25">
      <c r="A92" s="1">
        <v>45600</v>
      </c>
      <c r="B92" s="1" t="str">
        <f>TEXT(A92,"mmm"&amp;"yyy")</f>
        <v>Nov2024</v>
      </c>
      <c r="C92" t="s">
        <v>23</v>
      </c>
      <c r="D92" t="s">
        <v>30</v>
      </c>
      <c r="E92" t="s">
        <v>29</v>
      </c>
      <c r="F92">
        <v>2024</v>
      </c>
      <c r="G92" t="s">
        <v>20</v>
      </c>
      <c r="H92">
        <v>683</v>
      </c>
      <c r="I92">
        <v>691.55</v>
      </c>
      <c r="J92">
        <v>660</v>
      </c>
      <c r="K92">
        <v>682.65</v>
      </c>
      <c r="L92">
        <v>662.6</v>
      </c>
      <c r="M92">
        <v>663.15</v>
      </c>
      <c r="N92">
        <v>673.63</v>
      </c>
      <c r="O92">
        <v>804.9</v>
      </c>
      <c r="P92">
        <v>378.5</v>
      </c>
      <c r="Q92">
        <v>1278278</v>
      </c>
      <c r="R92">
        <v>74358</v>
      </c>
    </row>
    <row r="93" spans="1:18" x14ac:dyDescent="0.25">
      <c r="A93" s="1">
        <v>45597</v>
      </c>
      <c r="B93" s="1" t="str">
        <f>TEXT(A93,"mmm"&amp;"yyy")</f>
        <v>Nov2024</v>
      </c>
      <c r="C93" t="s">
        <v>24</v>
      </c>
      <c r="D93" t="s">
        <v>30</v>
      </c>
      <c r="E93" t="s">
        <v>29</v>
      </c>
      <c r="F93">
        <v>2024</v>
      </c>
      <c r="G93" t="s">
        <v>20</v>
      </c>
      <c r="H93">
        <v>685.95</v>
      </c>
      <c r="I93">
        <v>688.5</v>
      </c>
      <c r="J93">
        <v>679.05</v>
      </c>
      <c r="K93">
        <v>679.15</v>
      </c>
      <c r="L93">
        <v>683</v>
      </c>
      <c r="M93">
        <v>682.65</v>
      </c>
      <c r="N93">
        <v>684.68</v>
      </c>
      <c r="O93">
        <v>804.9</v>
      </c>
      <c r="P93">
        <v>375.1</v>
      </c>
      <c r="Q93">
        <v>211642</v>
      </c>
      <c r="R93">
        <v>10257</v>
      </c>
    </row>
    <row r="94" spans="1:18" x14ac:dyDescent="0.25">
      <c r="A94" s="1">
        <v>45596</v>
      </c>
      <c r="B94" s="1" t="str">
        <f>TEXT(A94,"mmm"&amp;"yyy")</f>
        <v>Oct2024</v>
      </c>
      <c r="C94" t="s">
        <v>17</v>
      </c>
      <c r="D94" t="s">
        <v>31</v>
      </c>
      <c r="E94" t="s">
        <v>29</v>
      </c>
      <c r="F94">
        <v>2024</v>
      </c>
      <c r="G94" t="s">
        <v>20</v>
      </c>
      <c r="H94">
        <v>674.35</v>
      </c>
      <c r="I94">
        <v>688.75</v>
      </c>
      <c r="J94">
        <v>671.5</v>
      </c>
      <c r="K94">
        <v>674.35</v>
      </c>
      <c r="L94">
        <v>679.8</v>
      </c>
      <c r="M94">
        <v>679.15</v>
      </c>
      <c r="N94">
        <v>679.13</v>
      </c>
      <c r="O94">
        <v>804.9</v>
      </c>
      <c r="P94">
        <v>375.1</v>
      </c>
      <c r="Q94">
        <v>1159460</v>
      </c>
      <c r="R94">
        <v>60994</v>
      </c>
    </row>
    <row r="95" spans="1:18" x14ac:dyDescent="0.25">
      <c r="A95" s="1">
        <v>45595</v>
      </c>
      <c r="B95" s="1" t="str">
        <f>TEXT(A95,"mmm"&amp;"yyy")</f>
        <v>Oct2024</v>
      </c>
      <c r="C95" t="s">
        <v>21</v>
      </c>
      <c r="D95" t="s">
        <v>31</v>
      </c>
      <c r="E95" t="s">
        <v>29</v>
      </c>
      <c r="F95">
        <v>2024</v>
      </c>
      <c r="G95" t="s">
        <v>20</v>
      </c>
      <c r="H95">
        <v>683.3</v>
      </c>
      <c r="I95">
        <v>684.6</v>
      </c>
      <c r="J95">
        <v>668.1</v>
      </c>
      <c r="K95">
        <v>683.3</v>
      </c>
      <c r="L95">
        <v>673</v>
      </c>
      <c r="M95">
        <v>674.35</v>
      </c>
      <c r="N95">
        <v>676.11</v>
      </c>
      <c r="O95">
        <v>804.9</v>
      </c>
      <c r="P95">
        <v>375.1</v>
      </c>
      <c r="Q95">
        <v>1295866</v>
      </c>
      <c r="R95">
        <v>49429</v>
      </c>
    </row>
    <row r="96" spans="1:18" x14ac:dyDescent="0.25">
      <c r="A96" s="1">
        <v>45594</v>
      </c>
      <c r="B96" s="1" t="str">
        <f>TEXT(A96,"mmm"&amp;"yyy")</f>
        <v>Oct2024</v>
      </c>
      <c r="C96" t="s">
        <v>22</v>
      </c>
      <c r="D96" t="s">
        <v>31</v>
      </c>
      <c r="E96" t="s">
        <v>29</v>
      </c>
      <c r="F96">
        <v>2024</v>
      </c>
      <c r="G96" t="s">
        <v>20</v>
      </c>
      <c r="H96">
        <v>644</v>
      </c>
      <c r="I96">
        <v>694.1</v>
      </c>
      <c r="J96">
        <v>637.79999999999995</v>
      </c>
      <c r="K96">
        <v>642.9</v>
      </c>
      <c r="L96">
        <v>688</v>
      </c>
      <c r="M96">
        <v>683.3</v>
      </c>
      <c r="N96">
        <v>670.83</v>
      </c>
      <c r="O96">
        <v>804.9</v>
      </c>
      <c r="P96">
        <v>375.1</v>
      </c>
      <c r="Q96">
        <v>5537844</v>
      </c>
      <c r="R96">
        <v>148028</v>
      </c>
    </row>
    <row r="97" spans="1:18" x14ac:dyDescent="0.25">
      <c r="A97" s="1">
        <v>45593</v>
      </c>
      <c r="B97" s="1" t="str">
        <f>TEXT(A97,"mmm"&amp;"yyy")</f>
        <v>Oct2024</v>
      </c>
      <c r="C97" t="s">
        <v>23</v>
      </c>
      <c r="D97" t="s">
        <v>31</v>
      </c>
      <c r="E97" t="s">
        <v>29</v>
      </c>
      <c r="F97">
        <v>2024</v>
      </c>
      <c r="G97" t="s">
        <v>20</v>
      </c>
      <c r="H97">
        <v>672.15</v>
      </c>
      <c r="I97">
        <v>674</v>
      </c>
      <c r="J97">
        <v>635.54999999999995</v>
      </c>
      <c r="K97">
        <v>668.9</v>
      </c>
      <c r="L97">
        <v>638.6</v>
      </c>
      <c r="M97">
        <v>642.9</v>
      </c>
      <c r="N97">
        <v>653.70000000000005</v>
      </c>
      <c r="O97">
        <v>804.9</v>
      </c>
      <c r="P97">
        <v>375.1</v>
      </c>
      <c r="Q97">
        <v>1521902</v>
      </c>
      <c r="R97">
        <v>73756</v>
      </c>
    </row>
    <row r="98" spans="1:18" x14ac:dyDescent="0.25">
      <c r="A98" s="1">
        <v>45590</v>
      </c>
      <c r="B98" s="1" t="str">
        <f>TEXT(A98,"mmm"&amp;"yyy")</f>
        <v>Oct2024</v>
      </c>
      <c r="C98" t="s">
        <v>24</v>
      </c>
      <c r="D98" t="s">
        <v>31</v>
      </c>
      <c r="E98" t="s">
        <v>29</v>
      </c>
      <c r="F98">
        <v>2024</v>
      </c>
      <c r="G98" t="s">
        <v>20</v>
      </c>
      <c r="H98">
        <v>665</v>
      </c>
      <c r="I98">
        <v>674.3</v>
      </c>
      <c r="J98">
        <v>641.65</v>
      </c>
      <c r="K98">
        <v>671</v>
      </c>
      <c r="L98">
        <v>671.05</v>
      </c>
      <c r="M98">
        <v>668.9</v>
      </c>
      <c r="N98">
        <v>653.09</v>
      </c>
      <c r="O98">
        <v>804.9</v>
      </c>
      <c r="P98">
        <v>347.5</v>
      </c>
      <c r="Q98">
        <v>2918783</v>
      </c>
      <c r="R98">
        <v>87328</v>
      </c>
    </row>
    <row r="99" spans="1:18" x14ac:dyDescent="0.25">
      <c r="A99" s="1">
        <v>45589</v>
      </c>
      <c r="B99" s="1" t="str">
        <f>TEXT(A99,"mmm"&amp;"yyy")</f>
        <v>Oct2024</v>
      </c>
      <c r="C99" t="s">
        <v>17</v>
      </c>
      <c r="D99" t="s">
        <v>31</v>
      </c>
      <c r="E99" t="s">
        <v>29</v>
      </c>
      <c r="F99">
        <v>2024</v>
      </c>
      <c r="G99" t="s">
        <v>20</v>
      </c>
      <c r="H99">
        <v>691.5</v>
      </c>
      <c r="I99">
        <v>693</v>
      </c>
      <c r="J99">
        <v>668.6</v>
      </c>
      <c r="K99">
        <v>687.75</v>
      </c>
      <c r="L99">
        <v>669.95</v>
      </c>
      <c r="M99">
        <v>671</v>
      </c>
      <c r="N99">
        <v>678.5</v>
      </c>
      <c r="O99">
        <v>804.9</v>
      </c>
      <c r="P99">
        <v>347.5</v>
      </c>
      <c r="Q99">
        <v>1271312</v>
      </c>
      <c r="R99">
        <v>54828</v>
      </c>
    </row>
    <row r="100" spans="1:18" x14ac:dyDescent="0.25">
      <c r="A100" s="1">
        <v>45588</v>
      </c>
      <c r="B100" s="1" t="str">
        <f>TEXT(A100,"mmm"&amp;"yyy")</f>
        <v>Oct2024</v>
      </c>
      <c r="C100" t="s">
        <v>21</v>
      </c>
      <c r="D100" t="s">
        <v>31</v>
      </c>
      <c r="E100" t="s">
        <v>29</v>
      </c>
      <c r="F100">
        <v>2024</v>
      </c>
      <c r="G100" t="s">
        <v>20</v>
      </c>
      <c r="H100">
        <v>665.05</v>
      </c>
      <c r="I100">
        <v>692</v>
      </c>
      <c r="J100">
        <v>649.04999999999995</v>
      </c>
      <c r="K100">
        <v>670.25</v>
      </c>
      <c r="L100">
        <v>689.4</v>
      </c>
      <c r="M100">
        <v>687.75</v>
      </c>
      <c r="N100">
        <v>669.5</v>
      </c>
      <c r="O100">
        <v>804.9</v>
      </c>
      <c r="P100">
        <v>347.5</v>
      </c>
      <c r="Q100">
        <v>4378251</v>
      </c>
      <c r="R100">
        <v>155662</v>
      </c>
    </row>
    <row r="101" spans="1:18" x14ac:dyDescent="0.25">
      <c r="A101" s="1">
        <v>45587</v>
      </c>
      <c r="B101" s="1" t="str">
        <f>TEXT(A101,"mmm"&amp;"yyy")</f>
        <v>Oct2024</v>
      </c>
      <c r="C101" t="s">
        <v>22</v>
      </c>
      <c r="D101" t="s">
        <v>31</v>
      </c>
      <c r="E101" t="s">
        <v>29</v>
      </c>
      <c r="F101">
        <v>2024</v>
      </c>
      <c r="G101" t="s">
        <v>20</v>
      </c>
      <c r="H101">
        <v>688.05</v>
      </c>
      <c r="I101">
        <v>689.05</v>
      </c>
      <c r="J101">
        <v>666.1</v>
      </c>
      <c r="K101">
        <v>684.55</v>
      </c>
      <c r="L101">
        <v>674.8</v>
      </c>
      <c r="M101">
        <v>670.25</v>
      </c>
      <c r="N101">
        <v>676.48</v>
      </c>
      <c r="O101">
        <v>804.9</v>
      </c>
      <c r="P101">
        <v>347.5</v>
      </c>
      <c r="Q101">
        <v>1265025</v>
      </c>
      <c r="R101">
        <v>49075</v>
      </c>
    </row>
    <row r="102" spans="1:18" x14ac:dyDescent="0.25">
      <c r="A102" s="1">
        <v>45586</v>
      </c>
      <c r="B102" s="1" t="str">
        <f>TEXT(A102,"mmm"&amp;"yyy")</f>
        <v>Oct2024</v>
      </c>
      <c r="C102" t="s">
        <v>23</v>
      </c>
      <c r="D102" t="s">
        <v>31</v>
      </c>
      <c r="E102" t="s">
        <v>29</v>
      </c>
      <c r="F102">
        <v>2024</v>
      </c>
      <c r="G102" t="s">
        <v>20</v>
      </c>
      <c r="H102">
        <v>684</v>
      </c>
      <c r="I102">
        <v>697.2</v>
      </c>
      <c r="J102">
        <v>675</v>
      </c>
      <c r="K102">
        <v>676.85</v>
      </c>
      <c r="L102">
        <v>686.1</v>
      </c>
      <c r="M102">
        <v>684.55</v>
      </c>
      <c r="N102">
        <v>685.9</v>
      </c>
      <c r="O102">
        <v>804.9</v>
      </c>
      <c r="P102">
        <v>347.5</v>
      </c>
      <c r="Q102">
        <v>1609539</v>
      </c>
      <c r="R102">
        <v>65052</v>
      </c>
    </row>
    <row r="103" spans="1:18" x14ac:dyDescent="0.25">
      <c r="A103" s="1">
        <v>45583</v>
      </c>
      <c r="B103" s="1" t="str">
        <f>TEXT(A103,"mmm"&amp;"yyy")</f>
        <v>Oct2024</v>
      </c>
      <c r="C103" t="s">
        <v>24</v>
      </c>
      <c r="D103" t="s">
        <v>31</v>
      </c>
      <c r="E103" t="s">
        <v>29</v>
      </c>
      <c r="F103">
        <v>2024</v>
      </c>
      <c r="G103" t="s">
        <v>20</v>
      </c>
      <c r="H103">
        <v>680</v>
      </c>
      <c r="I103">
        <v>681.95</v>
      </c>
      <c r="J103">
        <v>666.1</v>
      </c>
      <c r="K103">
        <v>676.55</v>
      </c>
      <c r="L103">
        <v>679.5</v>
      </c>
      <c r="M103">
        <v>676.85</v>
      </c>
      <c r="N103">
        <v>673.51</v>
      </c>
      <c r="O103">
        <v>804.9</v>
      </c>
      <c r="P103">
        <v>347.5</v>
      </c>
      <c r="Q103">
        <v>2358804</v>
      </c>
      <c r="R103">
        <v>74384</v>
      </c>
    </row>
    <row r="104" spans="1:18" x14ac:dyDescent="0.25">
      <c r="A104" s="1">
        <v>45582</v>
      </c>
      <c r="B104" s="1" t="str">
        <f>TEXT(A104,"mmm"&amp;"yyy")</f>
        <v>Oct2024</v>
      </c>
      <c r="C104" t="s">
        <v>17</v>
      </c>
      <c r="D104" t="s">
        <v>31</v>
      </c>
      <c r="E104" t="s">
        <v>29</v>
      </c>
      <c r="F104">
        <v>2024</v>
      </c>
      <c r="G104" t="s">
        <v>20</v>
      </c>
      <c r="H104">
        <v>695.25</v>
      </c>
      <c r="I104">
        <v>703.5</v>
      </c>
      <c r="J104">
        <v>675</v>
      </c>
      <c r="K104">
        <v>689.3</v>
      </c>
      <c r="L104">
        <v>678.9</v>
      </c>
      <c r="M104">
        <v>676.55</v>
      </c>
      <c r="N104">
        <v>687.01</v>
      </c>
      <c r="O104">
        <v>804.9</v>
      </c>
      <c r="P104">
        <v>347.5</v>
      </c>
      <c r="Q104">
        <v>1324100</v>
      </c>
      <c r="R104">
        <v>49270</v>
      </c>
    </row>
    <row r="105" spans="1:18" x14ac:dyDescent="0.25">
      <c r="A105" s="1">
        <v>45581</v>
      </c>
      <c r="B105" s="1" t="str">
        <f>TEXT(A105,"mmm"&amp;"yyy")</f>
        <v>Oct2024</v>
      </c>
      <c r="C105" t="s">
        <v>21</v>
      </c>
      <c r="D105" t="s">
        <v>31</v>
      </c>
      <c r="E105" t="s">
        <v>29</v>
      </c>
      <c r="F105">
        <v>2024</v>
      </c>
      <c r="G105" t="s">
        <v>20</v>
      </c>
      <c r="H105">
        <v>697</v>
      </c>
      <c r="I105">
        <v>698.7</v>
      </c>
      <c r="J105">
        <v>686.7</v>
      </c>
      <c r="K105">
        <v>692.15</v>
      </c>
      <c r="L105">
        <v>689.55</v>
      </c>
      <c r="M105">
        <v>689.3</v>
      </c>
      <c r="N105">
        <v>692.34</v>
      </c>
      <c r="O105">
        <v>804.9</v>
      </c>
      <c r="P105">
        <v>347.5</v>
      </c>
      <c r="Q105">
        <v>1161073</v>
      </c>
      <c r="R105">
        <v>53566</v>
      </c>
    </row>
    <row r="106" spans="1:18" x14ac:dyDescent="0.25">
      <c r="A106" s="1">
        <v>45580</v>
      </c>
      <c r="B106" s="1" t="str">
        <f>TEXT(A106,"mmm"&amp;"yyy")</f>
        <v>Oct2024</v>
      </c>
      <c r="C106" t="s">
        <v>22</v>
      </c>
      <c r="D106" t="s">
        <v>31</v>
      </c>
      <c r="E106" t="s">
        <v>29</v>
      </c>
      <c r="F106">
        <v>2024</v>
      </c>
      <c r="G106" t="s">
        <v>20</v>
      </c>
      <c r="H106">
        <v>705</v>
      </c>
      <c r="I106">
        <v>708.55</v>
      </c>
      <c r="J106">
        <v>690</v>
      </c>
      <c r="K106">
        <v>703.2</v>
      </c>
      <c r="L106">
        <v>694.9</v>
      </c>
      <c r="M106">
        <v>692.15</v>
      </c>
      <c r="N106">
        <v>695.34</v>
      </c>
      <c r="O106">
        <v>804.9</v>
      </c>
      <c r="P106">
        <v>347.5</v>
      </c>
      <c r="Q106">
        <v>1283068</v>
      </c>
      <c r="R106">
        <v>62701</v>
      </c>
    </row>
    <row r="107" spans="1:18" x14ac:dyDescent="0.25">
      <c r="A107" s="1">
        <v>45579</v>
      </c>
      <c r="B107" s="1" t="str">
        <f>TEXT(A107,"mmm"&amp;"yyy")</f>
        <v>Oct2024</v>
      </c>
      <c r="C107" t="s">
        <v>23</v>
      </c>
      <c r="D107" t="s">
        <v>31</v>
      </c>
      <c r="E107" t="s">
        <v>29</v>
      </c>
      <c r="F107">
        <v>2024</v>
      </c>
      <c r="G107" t="s">
        <v>20</v>
      </c>
      <c r="H107">
        <v>715.5</v>
      </c>
      <c r="I107">
        <v>718.4</v>
      </c>
      <c r="J107">
        <v>700</v>
      </c>
      <c r="K107">
        <v>706.7</v>
      </c>
      <c r="L107">
        <v>702.8</v>
      </c>
      <c r="M107">
        <v>703.2</v>
      </c>
      <c r="N107">
        <v>707.58</v>
      </c>
      <c r="O107">
        <v>804.9</v>
      </c>
      <c r="P107">
        <v>347.5</v>
      </c>
      <c r="Q107">
        <v>1716685</v>
      </c>
      <c r="R107">
        <v>57741</v>
      </c>
    </row>
    <row r="108" spans="1:18" x14ac:dyDescent="0.25">
      <c r="A108" s="1">
        <v>45576</v>
      </c>
      <c r="B108" s="1" t="str">
        <f>TEXT(A108,"mmm"&amp;"yyy")</f>
        <v>Oct2024</v>
      </c>
      <c r="C108" t="s">
        <v>24</v>
      </c>
      <c r="D108" t="s">
        <v>31</v>
      </c>
      <c r="E108" t="s">
        <v>29</v>
      </c>
      <c r="F108">
        <v>2024</v>
      </c>
      <c r="G108" t="s">
        <v>20</v>
      </c>
      <c r="H108">
        <v>728.05</v>
      </c>
      <c r="I108">
        <v>728.05</v>
      </c>
      <c r="J108">
        <v>705</v>
      </c>
      <c r="K108">
        <v>728.85</v>
      </c>
      <c r="L108">
        <v>706.45</v>
      </c>
      <c r="M108">
        <v>706.7</v>
      </c>
      <c r="N108">
        <v>710.9</v>
      </c>
      <c r="O108">
        <v>804.9</v>
      </c>
      <c r="P108">
        <v>347.5</v>
      </c>
      <c r="Q108">
        <v>1686125</v>
      </c>
      <c r="R108">
        <v>65471</v>
      </c>
    </row>
    <row r="109" spans="1:18" x14ac:dyDescent="0.25">
      <c r="A109" s="1">
        <v>45575</v>
      </c>
      <c r="B109" s="1" t="str">
        <f>TEXT(A109,"mmm"&amp;"yyy")</f>
        <v>Oct2024</v>
      </c>
      <c r="C109" t="s">
        <v>17</v>
      </c>
      <c r="D109" t="s">
        <v>31</v>
      </c>
      <c r="E109" t="s">
        <v>29</v>
      </c>
      <c r="F109">
        <v>2024</v>
      </c>
      <c r="G109" t="s">
        <v>20</v>
      </c>
      <c r="H109">
        <v>730.1</v>
      </c>
      <c r="I109">
        <v>741.45</v>
      </c>
      <c r="J109">
        <v>722.65</v>
      </c>
      <c r="K109">
        <v>730.1</v>
      </c>
      <c r="L109">
        <v>729</v>
      </c>
      <c r="M109">
        <v>728.85</v>
      </c>
      <c r="N109">
        <v>731.87</v>
      </c>
      <c r="O109">
        <v>804.9</v>
      </c>
      <c r="P109">
        <v>347.5</v>
      </c>
      <c r="Q109">
        <v>1171351</v>
      </c>
      <c r="R109">
        <v>46719</v>
      </c>
    </row>
    <row r="110" spans="1:18" x14ac:dyDescent="0.25">
      <c r="A110" s="1">
        <v>45574</v>
      </c>
      <c r="B110" s="1" t="str">
        <f>TEXT(A110,"mmm"&amp;"yyy")</f>
        <v>Oct2024</v>
      </c>
      <c r="C110" t="s">
        <v>21</v>
      </c>
      <c r="D110" t="s">
        <v>31</v>
      </c>
      <c r="E110" t="s">
        <v>29</v>
      </c>
      <c r="F110">
        <v>2024</v>
      </c>
      <c r="G110" t="s">
        <v>20</v>
      </c>
      <c r="H110">
        <v>722.55</v>
      </c>
      <c r="I110">
        <v>735.9</v>
      </c>
      <c r="J110">
        <v>713</v>
      </c>
      <c r="K110">
        <v>722.55</v>
      </c>
      <c r="L110">
        <v>727.5</v>
      </c>
      <c r="M110">
        <v>730.1</v>
      </c>
      <c r="N110">
        <v>727.92</v>
      </c>
      <c r="O110">
        <v>804.9</v>
      </c>
      <c r="P110">
        <v>347.5</v>
      </c>
      <c r="Q110">
        <v>2063258</v>
      </c>
      <c r="R110">
        <v>58165</v>
      </c>
    </row>
    <row r="111" spans="1:18" x14ac:dyDescent="0.25">
      <c r="A111" s="1">
        <v>45573</v>
      </c>
      <c r="B111" s="1" t="str">
        <f>TEXT(A111,"mmm"&amp;"yyy")</f>
        <v>Oct2024</v>
      </c>
      <c r="C111" t="s">
        <v>22</v>
      </c>
      <c r="D111" t="s">
        <v>31</v>
      </c>
      <c r="E111" t="s">
        <v>29</v>
      </c>
      <c r="F111">
        <v>2024</v>
      </c>
      <c r="G111" t="s">
        <v>20</v>
      </c>
      <c r="H111">
        <v>685</v>
      </c>
      <c r="I111">
        <v>726.7</v>
      </c>
      <c r="J111">
        <v>668</v>
      </c>
      <c r="K111">
        <v>674.2</v>
      </c>
      <c r="L111">
        <v>722.5</v>
      </c>
      <c r="M111">
        <v>722.55</v>
      </c>
      <c r="N111">
        <v>702.74</v>
      </c>
      <c r="O111">
        <v>804.9</v>
      </c>
      <c r="P111">
        <v>347.5</v>
      </c>
      <c r="Q111">
        <v>3918488</v>
      </c>
      <c r="R111">
        <v>121883</v>
      </c>
    </row>
    <row r="112" spans="1:18" x14ac:dyDescent="0.25">
      <c r="A112" s="1">
        <v>45572</v>
      </c>
      <c r="B112" s="1" t="str">
        <f>TEXT(A112,"mmm"&amp;"yyy")</f>
        <v>Oct2024</v>
      </c>
      <c r="C112" t="s">
        <v>23</v>
      </c>
      <c r="D112" t="s">
        <v>31</v>
      </c>
      <c r="E112" t="s">
        <v>29</v>
      </c>
      <c r="F112">
        <v>2024</v>
      </c>
      <c r="G112" t="s">
        <v>20</v>
      </c>
      <c r="H112">
        <v>700</v>
      </c>
      <c r="I112">
        <v>704.8</v>
      </c>
      <c r="J112">
        <v>662.2</v>
      </c>
      <c r="K112">
        <v>699.5</v>
      </c>
      <c r="L112">
        <v>673</v>
      </c>
      <c r="M112">
        <v>674.2</v>
      </c>
      <c r="N112">
        <v>675.11</v>
      </c>
      <c r="O112">
        <v>804.9</v>
      </c>
      <c r="P112">
        <v>347.5</v>
      </c>
      <c r="Q112">
        <v>3050665</v>
      </c>
      <c r="R112">
        <v>108120</v>
      </c>
    </row>
    <row r="113" spans="1:18" x14ac:dyDescent="0.25">
      <c r="A113" s="1">
        <v>45569</v>
      </c>
      <c r="B113" s="1" t="str">
        <f>TEXT(A113,"mmm"&amp;"yyy")</f>
        <v>Oct2024</v>
      </c>
      <c r="C113" t="s">
        <v>24</v>
      </c>
      <c r="D113" t="s">
        <v>31</v>
      </c>
      <c r="E113" t="s">
        <v>29</v>
      </c>
      <c r="F113">
        <v>2024</v>
      </c>
      <c r="G113" t="s">
        <v>20</v>
      </c>
      <c r="H113">
        <v>708.65</v>
      </c>
      <c r="I113">
        <v>716.15</v>
      </c>
      <c r="J113">
        <v>691.25</v>
      </c>
      <c r="K113">
        <v>708.6</v>
      </c>
      <c r="L113">
        <v>700.4</v>
      </c>
      <c r="M113">
        <v>699.5</v>
      </c>
      <c r="N113">
        <v>700.95</v>
      </c>
      <c r="O113">
        <v>804.9</v>
      </c>
      <c r="P113">
        <v>347.5</v>
      </c>
      <c r="Q113">
        <v>1876259</v>
      </c>
      <c r="R113">
        <v>69605</v>
      </c>
    </row>
    <row r="114" spans="1:18" x14ac:dyDescent="0.25">
      <c r="A114" s="1">
        <v>45568</v>
      </c>
      <c r="B114" s="1" t="str">
        <f>TEXT(A114,"mmm"&amp;"yyy")</f>
        <v>Oct2024</v>
      </c>
      <c r="C114" t="s">
        <v>17</v>
      </c>
      <c r="D114" t="s">
        <v>31</v>
      </c>
      <c r="E114" t="s">
        <v>29</v>
      </c>
      <c r="F114">
        <v>2024</v>
      </c>
      <c r="G114" t="s">
        <v>20</v>
      </c>
      <c r="H114">
        <v>713.05</v>
      </c>
      <c r="I114">
        <v>718.8</v>
      </c>
      <c r="J114">
        <v>706.1</v>
      </c>
      <c r="K114">
        <v>723.45</v>
      </c>
      <c r="L114">
        <v>708.6</v>
      </c>
      <c r="M114">
        <v>708.6</v>
      </c>
      <c r="N114">
        <v>712.08</v>
      </c>
      <c r="O114">
        <v>804.9</v>
      </c>
      <c r="P114">
        <v>347.5</v>
      </c>
      <c r="Q114">
        <v>2132369</v>
      </c>
      <c r="R114">
        <v>71564</v>
      </c>
    </row>
    <row r="115" spans="1:18" x14ac:dyDescent="0.25">
      <c r="A115" s="1">
        <v>45566</v>
      </c>
      <c r="B115" s="1" t="str">
        <f>TEXT(A115,"mmm"&amp;"yyy")</f>
        <v>Oct2024</v>
      </c>
      <c r="C115" t="s">
        <v>22</v>
      </c>
      <c r="D115" t="s">
        <v>31</v>
      </c>
      <c r="E115" t="s">
        <v>29</v>
      </c>
      <c r="F115">
        <v>2024</v>
      </c>
      <c r="G115" t="s">
        <v>20</v>
      </c>
      <c r="H115">
        <v>733.05</v>
      </c>
      <c r="I115">
        <v>736.5</v>
      </c>
      <c r="J115">
        <v>712.1</v>
      </c>
      <c r="K115">
        <v>733.05</v>
      </c>
      <c r="L115">
        <v>722</v>
      </c>
      <c r="M115">
        <v>723.45</v>
      </c>
      <c r="N115">
        <v>723.3</v>
      </c>
      <c r="O115">
        <v>804.9</v>
      </c>
      <c r="P115">
        <v>347.5</v>
      </c>
      <c r="Q115">
        <v>2363253</v>
      </c>
      <c r="R115">
        <v>79673</v>
      </c>
    </row>
    <row r="116" spans="1:18" x14ac:dyDescent="0.25">
      <c r="A116" s="1">
        <v>45565</v>
      </c>
      <c r="B116" s="1" t="str">
        <f>TEXT(A116,"mmm"&amp;"yyy")</f>
        <v>Sep2024</v>
      </c>
      <c r="C116" t="s">
        <v>23</v>
      </c>
      <c r="D116" t="s">
        <v>32</v>
      </c>
      <c r="E116" t="s">
        <v>33</v>
      </c>
      <c r="F116">
        <v>2024</v>
      </c>
      <c r="G116" t="s">
        <v>20</v>
      </c>
      <c r="H116">
        <v>735</v>
      </c>
      <c r="I116">
        <v>736.6</v>
      </c>
      <c r="J116">
        <v>721.05</v>
      </c>
      <c r="K116">
        <v>740.3</v>
      </c>
      <c r="L116">
        <v>733</v>
      </c>
      <c r="M116">
        <v>733.05</v>
      </c>
      <c r="N116">
        <v>729.6</v>
      </c>
      <c r="O116">
        <v>804.9</v>
      </c>
      <c r="P116">
        <v>347.5</v>
      </c>
      <c r="Q116">
        <v>2831175</v>
      </c>
      <c r="R116">
        <v>108488</v>
      </c>
    </row>
    <row r="117" spans="1:18" x14ac:dyDescent="0.25">
      <c r="A117" s="1">
        <v>45562</v>
      </c>
      <c r="B117" s="1" t="str">
        <f>TEXT(A117,"mmm"&amp;"yyy")</f>
        <v>Sep2024</v>
      </c>
      <c r="C117" t="s">
        <v>24</v>
      </c>
      <c r="D117" t="s">
        <v>32</v>
      </c>
      <c r="E117" t="s">
        <v>33</v>
      </c>
      <c r="F117">
        <v>2024</v>
      </c>
      <c r="G117" t="s">
        <v>20</v>
      </c>
      <c r="H117">
        <v>776</v>
      </c>
      <c r="I117">
        <v>779.45</v>
      </c>
      <c r="J117">
        <v>730</v>
      </c>
      <c r="K117">
        <v>776.4</v>
      </c>
      <c r="L117">
        <v>733.7</v>
      </c>
      <c r="M117">
        <v>740.3</v>
      </c>
      <c r="N117">
        <v>749.89</v>
      </c>
      <c r="O117">
        <v>804.9</v>
      </c>
      <c r="P117">
        <v>347.5</v>
      </c>
      <c r="Q117">
        <v>9221236</v>
      </c>
      <c r="R117">
        <v>147253</v>
      </c>
    </row>
    <row r="118" spans="1:18" x14ac:dyDescent="0.25">
      <c r="A118" s="1">
        <v>45561</v>
      </c>
      <c r="B118" s="1" t="str">
        <f>TEXT(A118,"mmm"&amp;"yyy")</f>
        <v>Sep2024</v>
      </c>
      <c r="C118" t="s">
        <v>17</v>
      </c>
      <c r="D118" t="s">
        <v>32</v>
      </c>
      <c r="E118" t="s">
        <v>33</v>
      </c>
      <c r="F118">
        <v>2024</v>
      </c>
      <c r="G118" t="s">
        <v>20</v>
      </c>
      <c r="H118">
        <v>781.5</v>
      </c>
      <c r="I118">
        <v>789.45</v>
      </c>
      <c r="J118">
        <v>765.4</v>
      </c>
      <c r="K118">
        <v>783.9</v>
      </c>
      <c r="L118">
        <v>773</v>
      </c>
      <c r="M118">
        <v>776.4</v>
      </c>
      <c r="N118">
        <v>777.54</v>
      </c>
      <c r="O118">
        <v>804.9</v>
      </c>
      <c r="P118">
        <v>347.5</v>
      </c>
      <c r="Q118">
        <v>1927234</v>
      </c>
      <c r="R118">
        <v>82419</v>
      </c>
    </row>
    <row r="119" spans="1:18" x14ac:dyDescent="0.25">
      <c r="A119" s="1">
        <v>45560</v>
      </c>
      <c r="B119" s="1" t="str">
        <f>TEXT(A119,"mmm"&amp;"yyy")</f>
        <v>Sep2024</v>
      </c>
      <c r="C119" t="s">
        <v>21</v>
      </c>
      <c r="D119" t="s">
        <v>32</v>
      </c>
      <c r="E119" t="s">
        <v>33</v>
      </c>
      <c r="F119">
        <v>2024</v>
      </c>
      <c r="G119" t="s">
        <v>20</v>
      </c>
      <c r="H119">
        <v>790</v>
      </c>
      <c r="I119">
        <v>793.7</v>
      </c>
      <c r="J119">
        <v>776.2</v>
      </c>
      <c r="K119">
        <v>789.3</v>
      </c>
      <c r="L119">
        <v>778</v>
      </c>
      <c r="M119">
        <v>783.9</v>
      </c>
      <c r="N119">
        <v>786.31</v>
      </c>
      <c r="O119">
        <v>804.9</v>
      </c>
      <c r="P119">
        <v>347.5</v>
      </c>
      <c r="Q119">
        <v>1029003</v>
      </c>
      <c r="R119">
        <v>38371</v>
      </c>
    </row>
    <row r="120" spans="1:18" x14ac:dyDescent="0.25">
      <c r="A120" s="1">
        <v>45559</v>
      </c>
      <c r="B120" s="1" t="str">
        <f>TEXT(A120,"mmm"&amp;"yyy")</f>
        <v>Sep2024</v>
      </c>
      <c r="C120" t="s">
        <v>22</v>
      </c>
      <c r="D120" t="s">
        <v>32</v>
      </c>
      <c r="E120" t="s">
        <v>33</v>
      </c>
      <c r="F120">
        <v>2024</v>
      </c>
      <c r="G120" t="s">
        <v>20</v>
      </c>
      <c r="H120">
        <v>793</v>
      </c>
      <c r="I120">
        <v>804.9</v>
      </c>
      <c r="J120">
        <v>784.6</v>
      </c>
      <c r="K120">
        <v>792.05</v>
      </c>
      <c r="L120">
        <v>790</v>
      </c>
      <c r="M120">
        <v>789.3</v>
      </c>
      <c r="N120">
        <v>795.35</v>
      </c>
      <c r="O120">
        <v>804.9</v>
      </c>
      <c r="P120">
        <v>347.5</v>
      </c>
      <c r="Q120">
        <v>2827447</v>
      </c>
      <c r="R120">
        <v>84045</v>
      </c>
    </row>
    <row r="121" spans="1:18" x14ac:dyDescent="0.25">
      <c r="A121" s="1">
        <v>45558</v>
      </c>
      <c r="B121" s="1" t="str">
        <f>TEXT(A121,"mmm"&amp;"yyy")</f>
        <v>Sep2024</v>
      </c>
      <c r="C121" t="s">
        <v>23</v>
      </c>
      <c r="D121" t="s">
        <v>32</v>
      </c>
      <c r="E121" t="s">
        <v>33</v>
      </c>
      <c r="F121">
        <v>2024</v>
      </c>
      <c r="G121" t="s">
        <v>20</v>
      </c>
      <c r="H121">
        <v>785.35</v>
      </c>
      <c r="I121">
        <v>795</v>
      </c>
      <c r="J121">
        <v>774.85</v>
      </c>
      <c r="K121">
        <v>782.35</v>
      </c>
      <c r="L121">
        <v>792</v>
      </c>
      <c r="M121">
        <v>792.05</v>
      </c>
      <c r="N121">
        <v>788.74</v>
      </c>
      <c r="O121">
        <v>795</v>
      </c>
      <c r="P121">
        <v>347.5</v>
      </c>
      <c r="Q121">
        <v>2682083</v>
      </c>
      <c r="R121">
        <v>62566</v>
      </c>
    </row>
    <row r="122" spans="1:18" x14ac:dyDescent="0.25">
      <c r="A122" s="1">
        <v>45555</v>
      </c>
      <c r="B122" s="1" t="str">
        <f>TEXT(A122,"mmm"&amp;"yyy")</f>
        <v>Sep2024</v>
      </c>
      <c r="C122" t="s">
        <v>24</v>
      </c>
      <c r="D122" t="s">
        <v>32</v>
      </c>
      <c r="E122" t="s">
        <v>33</v>
      </c>
      <c r="F122">
        <v>2024</v>
      </c>
      <c r="G122" t="s">
        <v>20</v>
      </c>
      <c r="H122">
        <v>745.45</v>
      </c>
      <c r="I122">
        <v>789.5</v>
      </c>
      <c r="J122">
        <v>745.45</v>
      </c>
      <c r="K122">
        <v>742.85</v>
      </c>
      <c r="L122">
        <v>783</v>
      </c>
      <c r="M122">
        <v>782.35</v>
      </c>
      <c r="N122">
        <v>768.34</v>
      </c>
      <c r="O122">
        <v>789.5</v>
      </c>
      <c r="P122">
        <v>347.5</v>
      </c>
      <c r="Q122">
        <v>6369882</v>
      </c>
      <c r="R122">
        <v>122047</v>
      </c>
    </row>
    <row r="123" spans="1:18" x14ac:dyDescent="0.25">
      <c r="A123" s="1">
        <v>45554</v>
      </c>
      <c r="B123" s="1" t="str">
        <f>TEXT(A123,"mmm"&amp;"yyy")</f>
        <v>Sep2024</v>
      </c>
      <c r="C123" t="s">
        <v>17</v>
      </c>
      <c r="D123" t="s">
        <v>32</v>
      </c>
      <c r="E123" t="s">
        <v>33</v>
      </c>
      <c r="F123">
        <v>2024</v>
      </c>
      <c r="G123" t="s">
        <v>20</v>
      </c>
      <c r="H123">
        <v>754</v>
      </c>
      <c r="I123">
        <v>764.9</v>
      </c>
      <c r="J123">
        <v>731</v>
      </c>
      <c r="K123">
        <v>750.75</v>
      </c>
      <c r="L123">
        <v>744</v>
      </c>
      <c r="M123">
        <v>742.85</v>
      </c>
      <c r="N123">
        <v>746.52</v>
      </c>
      <c r="O123">
        <v>780.3</v>
      </c>
      <c r="P123">
        <v>347.5</v>
      </c>
      <c r="Q123">
        <v>1632199</v>
      </c>
      <c r="R123">
        <v>50656</v>
      </c>
    </row>
    <row r="124" spans="1:18" x14ac:dyDescent="0.25">
      <c r="A124" s="1">
        <v>45553</v>
      </c>
      <c r="B124" s="1" t="str">
        <f>TEXT(A124,"mmm"&amp;"yyy")</f>
        <v>Sep2024</v>
      </c>
      <c r="C124" t="s">
        <v>21</v>
      </c>
      <c r="D124" t="s">
        <v>32</v>
      </c>
      <c r="E124" t="s">
        <v>33</v>
      </c>
      <c r="F124">
        <v>2024</v>
      </c>
      <c r="G124" t="s">
        <v>20</v>
      </c>
      <c r="H124">
        <v>749.9</v>
      </c>
      <c r="I124">
        <v>758.65</v>
      </c>
      <c r="J124">
        <v>741</v>
      </c>
      <c r="K124">
        <v>748.55</v>
      </c>
      <c r="L124">
        <v>750</v>
      </c>
      <c r="M124">
        <v>750.75</v>
      </c>
      <c r="N124">
        <v>748.52</v>
      </c>
      <c r="O124">
        <v>780.3</v>
      </c>
      <c r="P124">
        <v>347.5</v>
      </c>
      <c r="Q124">
        <v>2056555</v>
      </c>
      <c r="R124">
        <v>73755</v>
      </c>
    </row>
    <row r="125" spans="1:18" x14ac:dyDescent="0.25">
      <c r="A125" s="1">
        <v>45552</v>
      </c>
      <c r="B125" s="1" t="str">
        <f>TEXT(A125,"mmm"&amp;"yyy")</f>
        <v>Sep2024</v>
      </c>
      <c r="C125" t="s">
        <v>22</v>
      </c>
      <c r="D125" t="s">
        <v>32</v>
      </c>
      <c r="E125" t="s">
        <v>33</v>
      </c>
      <c r="F125">
        <v>2024</v>
      </c>
      <c r="G125" t="s">
        <v>20</v>
      </c>
      <c r="H125">
        <v>771.6</v>
      </c>
      <c r="I125">
        <v>777.8</v>
      </c>
      <c r="J125">
        <v>745.1</v>
      </c>
      <c r="K125">
        <v>771.6</v>
      </c>
      <c r="L125">
        <v>749.45</v>
      </c>
      <c r="M125">
        <v>748.55</v>
      </c>
      <c r="N125">
        <v>760.8</v>
      </c>
      <c r="O125">
        <v>780.3</v>
      </c>
      <c r="P125">
        <v>347.5</v>
      </c>
      <c r="Q125">
        <v>4098556</v>
      </c>
      <c r="R125">
        <v>98660</v>
      </c>
    </row>
    <row r="126" spans="1:18" x14ac:dyDescent="0.25">
      <c r="A126" s="1">
        <v>45551</v>
      </c>
      <c r="B126" s="1" t="str">
        <f>TEXT(A126,"mmm"&amp;"yyy")</f>
        <v>Sep2024</v>
      </c>
      <c r="C126" t="s">
        <v>23</v>
      </c>
      <c r="D126" t="s">
        <v>32</v>
      </c>
      <c r="E126" t="s">
        <v>33</v>
      </c>
      <c r="F126">
        <v>2024</v>
      </c>
      <c r="G126" t="s">
        <v>20</v>
      </c>
      <c r="H126">
        <v>776</v>
      </c>
      <c r="I126">
        <v>780.3</v>
      </c>
      <c r="J126">
        <v>756</v>
      </c>
      <c r="K126">
        <v>768.25</v>
      </c>
      <c r="L126">
        <v>774</v>
      </c>
      <c r="M126">
        <v>771.6</v>
      </c>
      <c r="N126">
        <v>767.11</v>
      </c>
      <c r="O126">
        <v>780.3</v>
      </c>
      <c r="P126">
        <v>347.5</v>
      </c>
      <c r="Q126">
        <v>2569640</v>
      </c>
      <c r="R126">
        <v>61324</v>
      </c>
    </row>
    <row r="127" spans="1:18" x14ac:dyDescent="0.25">
      <c r="A127" s="1">
        <v>45548</v>
      </c>
      <c r="B127" s="1" t="str">
        <f>TEXT(A127,"mmm"&amp;"yyy")</f>
        <v>Sep2024</v>
      </c>
      <c r="C127" t="s">
        <v>24</v>
      </c>
      <c r="D127" t="s">
        <v>32</v>
      </c>
      <c r="E127" t="s">
        <v>33</v>
      </c>
      <c r="F127">
        <v>2024</v>
      </c>
      <c r="G127" t="s">
        <v>20</v>
      </c>
      <c r="H127">
        <v>761.2</v>
      </c>
      <c r="I127">
        <v>775.6</v>
      </c>
      <c r="J127">
        <v>757.35</v>
      </c>
      <c r="K127">
        <v>760.1</v>
      </c>
      <c r="L127">
        <v>768.4</v>
      </c>
      <c r="M127">
        <v>768.25</v>
      </c>
      <c r="N127">
        <v>769.07</v>
      </c>
      <c r="O127">
        <v>775.6</v>
      </c>
      <c r="P127">
        <v>347.5</v>
      </c>
      <c r="Q127">
        <v>2841640</v>
      </c>
      <c r="R127">
        <v>62043</v>
      </c>
    </row>
    <row r="128" spans="1:18" x14ac:dyDescent="0.25">
      <c r="A128" s="1">
        <v>45547</v>
      </c>
      <c r="B128" s="1" t="str">
        <f>TEXT(A128,"mmm"&amp;"yyy")</f>
        <v>Sep2024</v>
      </c>
      <c r="C128" t="s">
        <v>17</v>
      </c>
      <c r="D128" t="s">
        <v>32</v>
      </c>
      <c r="E128" t="s">
        <v>33</v>
      </c>
      <c r="F128">
        <v>2024</v>
      </c>
      <c r="G128" t="s">
        <v>20</v>
      </c>
      <c r="H128">
        <v>750</v>
      </c>
      <c r="I128">
        <v>763.7</v>
      </c>
      <c r="J128">
        <v>742.2</v>
      </c>
      <c r="K128">
        <v>741.8</v>
      </c>
      <c r="L128">
        <v>756.1</v>
      </c>
      <c r="M128">
        <v>760.1</v>
      </c>
      <c r="N128">
        <v>754.75</v>
      </c>
      <c r="O128">
        <v>764.8</v>
      </c>
      <c r="P128">
        <v>347.5</v>
      </c>
      <c r="Q128">
        <v>2804171</v>
      </c>
      <c r="R128">
        <v>64192</v>
      </c>
    </row>
    <row r="129" spans="1:18" x14ac:dyDescent="0.25">
      <c r="A129" s="1">
        <v>45546</v>
      </c>
      <c r="B129" s="1" t="str">
        <f>TEXT(A129,"mmm"&amp;"yyy")</f>
        <v>Sep2024</v>
      </c>
      <c r="C129" t="s">
        <v>21</v>
      </c>
      <c r="D129" t="s">
        <v>32</v>
      </c>
      <c r="E129" t="s">
        <v>33</v>
      </c>
      <c r="F129">
        <v>2024</v>
      </c>
      <c r="G129" t="s">
        <v>20</v>
      </c>
      <c r="H129">
        <v>746.9</v>
      </c>
      <c r="I129">
        <v>764.8</v>
      </c>
      <c r="J129">
        <v>734.15</v>
      </c>
      <c r="K129">
        <v>744.2</v>
      </c>
      <c r="L129">
        <v>744</v>
      </c>
      <c r="M129">
        <v>741.8</v>
      </c>
      <c r="N129">
        <v>752.96</v>
      </c>
      <c r="O129">
        <v>764.8</v>
      </c>
      <c r="P129">
        <v>347.5</v>
      </c>
      <c r="Q129">
        <v>4340246</v>
      </c>
      <c r="R129">
        <v>106125</v>
      </c>
    </row>
    <row r="130" spans="1:18" x14ac:dyDescent="0.25">
      <c r="A130" s="1">
        <v>45545</v>
      </c>
      <c r="B130" s="1" t="str">
        <f>TEXT(A130,"mmm"&amp;"yyy")</f>
        <v>Sep2024</v>
      </c>
      <c r="C130" t="s">
        <v>22</v>
      </c>
      <c r="D130" t="s">
        <v>32</v>
      </c>
      <c r="E130" t="s">
        <v>33</v>
      </c>
      <c r="F130">
        <v>2024</v>
      </c>
      <c r="G130" t="s">
        <v>20</v>
      </c>
      <c r="H130">
        <v>738</v>
      </c>
      <c r="I130">
        <v>749</v>
      </c>
      <c r="J130">
        <v>733.2</v>
      </c>
      <c r="K130">
        <v>730.75</v>
      </c>
      <c r="L130">
        <v>747</v>
      </c>
      <c r="M130">
        <v>744.2</v>
      </c>
      <c r="N130">
        <v>743.59</v>
      </c>
      <c r="O130">
        <v>752</v>
      </c>
      <c r="P130">
        <v>347.5</v>
      </c>
      <c r="Q130">
        <v>2736107</v>
      </c>
      <c r="R130">
        <v>84307</v>
      </c>
    </row>
    <row r="131" spans="1:18" x14ac:dyDescent="0.25">
      <c r="A131" s="1">
        <v>45544</v>
      </c>
      <c r="B131" s="1" t="str">
        <f>TEXT(A131,"mmm"&amp;"yyy")</f>
        <v>Sep2024</v>
      </c>
      <c r="C131" t="s">
        <v>23</v>
      </c>
      <c r="D131" t="s">
        <v>32</v>
      </c>
      <c r="E131" t="s">
        <v>33</v>
      </c>
      <c r="F131">
        <v>2024</v>
      </c>
      <c r="G131" t="s">
        <v>20</v>
      </c>
      <c r="H131">
        <v>708.25</v>
      </c>
      <c r="I131">
        <v>746.35</v>
      </c>
      <c r="J131">
        <v>705.1</v>
      </c>
      <c r="K131">
        <v>709.55</v>
      </c>
      <c r="L131">
        <v>730.75</v>
      </c>
      <c r="M131">
        <v>730.75</v>
      </c>
      <c r="N131">
        <v>730.6</v>
      </c>
      <c r="O131">
        <v>752</v>
      </c>
      <c r="P131">
        <v>347.5</v>
      </c>
      <c r="Q131">
        <v>6468992</v>
      </c>
      <c r="R131">
        <v>149170</v>
      </c>
    </row>
    <row r="132" spans="1:18" x14ac:dyDescent="0.25">
      <c r="A132" s="1">
        <v>45541</v>
      </c>
      <c r="B132" s="1" t="str">
        <f>TEXT(A132,"mmm"&amp;"yyy")</f>
        <v>Sep2024</v>
      </c>
      <c r="C132" t="s">
        <v>24</v>
      </c>
      <c r="D132" t="s">
        <v>32</v>
      </c>
      <c r="E132" t="s">
        <v>33</v>
      </c>
      <c r="F132">
        <v>2024</v>
      </c>
      <c r="G132" t="s">
        <v>20</v>
      </c>
      <c r="H132">
        <v>713.75</v>
      </c>
      <c r="I132">
        <v>719.35</v>
      </c>
      <c r="J132">
        <v>699</v>
      </c>
      <c r="K132">
        <v>714.45</v>
      </c>
      <c r="L132">
        <v>708</v>
      </c>
      <c r="M132">
        <v>709.55</v>
      </c>
      <c r="N132">
        <v>709.87</v>
      </c>
      <c r="O132">
        <v>752</v>
      </c>
      <c r="P132">
        <v>347.5</v>
      </c>
      <c r="Q132">
        <v>1779893</v>
      </c>
      <c r="R132">
        <v>52404</v>
      </c>
    </row>
    <row r="133" spans="1:18" x14ac:dyDescent="0.25">
      <c r="A133" s="1">
        <v>45540</v>
      </c>
      <c r="B133" s="1" t="str">
        <f>TEXT(A133,"mmm"&amp;"yyy")</f>
        <v>Sep2024</v>
      </c>
      <c r="C133" t="s">
        <v>17</v>
      </c>
      <c r="D133" t="s">
        <v>32</v>
      </c>
      <c r="E133" t="s">
        <v>33</v>
      </c>
      <c r="F133">
        <v>2024</v>
      </c>
      <c r="G133" t="s">
        <v>20</v>
      </c>
      <c r="H133">
        <v>699</v>
      </c>
      <c r="I133">
        <v>724</v>
      </c>
      <c r="J133">
        <v>692.15</v>
      </c>
      <c r="K133">
        <v>698.5</v>
      </c>
      <c r="L133">
        <v>715</v>
      </c>
      <c r="M133">
        <v>714.45</v>
      </c>
      <c r="N133">
        <v>708.95</v>
      </c>
      <c r="O133">
        <v>752</v>
      </c>
      <c r="P133">
        <v>347.5</v>
      </c>
      <c r="Q133">
        <v>3952565</v>
      </c>
      <c r="R133">
        <v>82982</v>
      </c>
    </row>
    <row r="134" spans="1:18" x14ac:dyDescent="0.25">
      <c r="A134" s="1">
        <v>45539</v>
      </c>
      <c r="B134" s="1" t="str">
        <f>TEXT(A134,"mmm"&amp;"yyy")</f>
        <v>Sep2024</v>
      </c>
      <c r="C134" t="s">
        <v>21</v>
      </c>
      <c r="D134" t="s">
        <v>32</v>
      </c>
      <c r="E134" t="s">
        <v>33</v>
      </c>
      <c r="F134">
        <v>2024</v>
      </c>
      <c r="G134" t="s">
        <v>20</v>
      </c>
      <c r="H134">
        <v>684.9</v>
      </c>
      <c r="I134">
        <v>701.5</v>
      </c>
      <c r="J134">
        <v>676.25</v>
      </c>
      <c r="K134">
        <v>692.7</v>
      </c>
      <c r="L134">
        <v>695</v>
      </c>
      <c r="M134">
        <v>698.5</v>
      </c>
      <c r="N134">
        <v>688.9</v>
      </c>
      <c r="O134">
        <v>752</v>
      </c>
      <c r="P134">
        <v>347.5</v>
      </c>
      <c r="Q134">
        <v>2969254</v>
      </c>
      <c r="R134">
        <v>55693</v>
      </c>
    </row>
    <row r="135" spans="1:18" x14ac:dyDescent="0.25">
      <c r="A135" s="1">
        <v>45538</v>
      </c>
      <c r="B135" s="1" t="str">
        <f>TEXT(A135,"mmm"&amp;"yyy")</f>
        <v>Sep2024</v>
      </c>
      <c r="C135" t="s">
        <v>22</v>
      </c>
      <c r="D135" t="s">
        <v>32</v>
      </c>
      <c r="E135" t="s">
        <v>33</v>
      </c>
      <c r="F135">
        <v>2024</v>
      </c>
      <c r="G135" t="s">
        <v>20</v>
      </c>
      <c r="H135">
        <v>707</v>
      </c>
      <c r="I135">
        <v>709.05</v>
      </c>
      <c r="J135">
        <v>690.75</v>
      </c>
      <c r="K135">
        <v>705.8</v>
      </c>
      <c r="L135">
        <v>693.5</v>
      </c>
      <c r="M135">
        <v>692.7</v>
      </c>
      <c r="N135">
        <v>697.37</v>
      </c>
      <c r="O135">
        <v>752</v>
      </c>
      <c r="P135">
        <v>347.5</v>
      </c>
      <c r="Q135">
        <v>1737165</v>
      </c>
      <c r="R135">
        <v>64902</v>
      </c>
    </row>
    <row r="136" spans="1:18" x14ac:dyDescent="0.25">
      <c r="A136" s="1">
        <v>45537</v>
      </c>
      <c r="B136" s="1" t="str">
        <f>TEXT(A136,"mmm"&amp;"yyy")</f>
        <v>Sep2024</v>
      </c>
      <c r="C136" t="s">
        <v>23</v>
      </c>
      <c r="D136" t="s">
        <v>32</v>
      </c>
      <c r="E136" t="s">
        <v>33</v>
      </c>
      <c r="F136">
        <v>2024</v>
      </c>
      <c r="G136" t="s">
        <v>20</v>
      </c>
      <c r="H136">
        <v>715.5</v>
      </c>
      <c r="I136">
        <v>727</v>
      </c>
      <c r="J136">
        <v>703</v>
      </c>
      <c r="K136">
        <v>711.15</v>
      </c>
      <c r="L136">
        <v>704</v>
      </c>
      <c r="M136">
        <v>705.8</v>
      </c>
      <c r="N136">
        <v>714.77</v>
      </c>
      <c r="O136">
        <v>752</v>
      </c>
      <c r="P136">
        <v>347.5</v>
      </c>
      <c r="Q136">
        <v>1645640</v>
      </c>
      <c r="R136">
        <v>58386</v>
      </c>
    </row>
    <row r="137" spans="1:18" x14ac:dyDescent="0.25">
      <c r="A137" s="1">
        <v>45534</v>
      </c>
      <c r="B137" s="1" t="str">
        <f>TEXT(A137,"mmm"&amp;"yyy")</f>
        <v>Aug2024</v>
      </c>
      <c r="C137" t="s">
        <v>24</v>
      </c>
      <c r="D137" t="s">
        <v>34</v>
      </c>
      <c r="E137" t="s">
        <v>33</v>
      </c>
      <c r="F137">
        <v>2024</v>
      </c>
      <c r="G137" t="s">
        <v>20</v>
      </c>
      <c r="H137">
        <v>723.7</v>
      </c>
      <c r="I137">
        <v>727.6</v>
      </c>
      <c r="J137">
        <v>707</v>
      </c>
      <c r="K137">
        <v>720.05</v>
      </c>
      <c r="L137">
        <v>712.35</v>
      </c>
      <c r="M137">
        <v>711.15</v>
      </c>
      <c r="N137">
        <v>718.09</v>
      </c>
      <c r="O137">
        <v>752</v>
      </c>
      <c r="P137">
        <v>342.1</v>
      </c>
      <c r="Q137">
        <v>2488658</v>
      </c>
      <c r="R137">
        <v>70687</v>
      </c>
    </row>
    <row r="138" spans="1:18" x14ac:dyDescent="0.25">
      <c r="A138" s="1">
        <v>45533</v>
      </c>
      <c r="B138" s="1" t="str">
        <f>TEXT(A138,"mmm"&amp;"yyy")</f>
        <v>Aug2024</v>
      </c>
      <c r="C138" t="s">
        <v>17</v>
      </c>
      <c r="D138" t="s">
        <v>34</v>
      </c>
      <c r="E138" t="s">
        <v>33</v>
      </c>
      <c r="F138">
        <v>2024</v>
      </c>
      <c r="G138" t="s">
        <v>20</v>
      </c>
      <c r="H138">
        <v>740</v>
      </c>
      <c r="I138">
        <v>751.35</v>
      </c>
      <c r="J138">
        <v>715</v>
      </c>
      <c r="K138">
        <v>736.6</v>
      </c>
      <c r="L138">
        <v>720.7</v>
      </c>
      <c r="M138">
        <v>720.05</v>
      </c>
      <c r="N138">
        <v>728.29</v>
      </c>
      <c r="O138">
        <v>752</v>
      </c>
      <c r="P138">
        <v>342.1</v>
      </c>
      <c r="Q138">
        <v>2918379</v>
      </c>
      <c r="R138">
        <v>73249</v>
      </c>
    </row>
    <row r="139" spans="1:18" x14ac:dyDescent="0.25">
      <c r="A139" s="1">
        <v>45532</v>
      </c>
      <c r="B139" s="1" t="str">
        <f>TEXT(A139,"mmm"&amp;"yyy")</f>
        <v>Aug2024</v>
      </c>
      <c r="C139" t="s">
        <v>21</v>
      </c>
      <c r="D139" t="s">
        <v>34</v>
      </c>
      <c r="E139" t="s">
        <v>33</v>
      </c>
      <c r="F139">
        <v>2024</v>
      </c>
      <c r="G139" t="s">
        <v>20</v>
      </c>
      <c r="H139">
        <v>734</v>
      </c>
      <c r="I139">
        <v>740</v>
      </c>
      <c r="J139">
        <v>723.3</v>
      </c>
      <c r="K139">
        <v>733.1</v>
      </c>
      <c r="L139">
        <v>733.3</v>
      </c>
      <c r="M139">
        <v>736.6</v>
      </c>
      <c r="N139">
        <v>735.01</v>
      </c>
      <c r="O139">
        <v>752</v>
      </c>
      <c r="P139">
        <v>342.1</v>
      </c>
      <c r="Q139">
        <v>1830363</v>
      </c>
      <c r="R139">
        <v>75830</v>
      </c>
    </row>
    <row r="140" spans="1:18" x14ac:dyDescent="0.25">
      <c r="A140" s="1">
        <v>45531</v>
      </c>
      <c r="B140" s="1" t="str">
        <f>TEXT(A140,"mmm"&amp;"yyy")</f>
        <v>Aug2024</v>
      </c>
      <c r="C140" t="s">
        <v>22</v>
      </c>
      <c r="D140" t="s">
        <v>34</v>
      </c>
      <c r="E140" t="s">
        <v>33</v>
      </c>
      <c r="F140">
        <v>2024</v>
      </c>
      <c r="G140" t="s">
        <v>20</v>
      </c>
      <c r="H140">
        <v>718.9</v>
      </c>
      <c r="I140">
        <v>737.5</v>
      </c>
      <c r="J140">
        <v>716.15</v>
      </c>
      <c r="K140">
        <v>715.55</v>
      </c>
      <c r="L140">
        <v>729.8</v>
      </c>
      <c r="M140">
        <v>733.1</v>
      </c>
      <c r="N140">
        <v>730.85</v>
      </c>
      <c r="O140">
        <v>752</v>
      </c>
      <c r="P140">
        <v>342.1</v>
      </c>
      <c r="Q140">
        <v>2632192</v>
      </c>
      <c r="R140">
        <v>96033</v>
      </c>
    </row>
    <row r="141" spans="1:18" x14ac:dyDescent="0.25">
      <c r="A141" s="1">
        <v>45530</v>
      </c>
      <c r="B141" s="1" t="str">
        <f>TEXT(A141,"mmm"&amp;"yyy")</f>
        <v>Aug2024</v>
      </c>
      <c r="C141" t="s">
        <v>23</v>
      </c>
      <c r="D141" t="s">
        <v>34</v>
      </c>
      <c r="E141" t="s">
        <v>33</v>
      </c>
      <c r="F141">
        <v>2024</v>
      </c>
      <c r="G141" t="s">
        <v>20</v>
      </c>
      <c r="H141">
        <v>712.6</v>
      </c>
      <c r="I141">
        <v>720.8</v>
      </c>
      <c r="J141">
        <v>701.95</v>
      </c>
      <c r="K141">
        <v>703.85</v>
      </c>
      <c r="L141">
        <v>715.8</v>
      </c>
      <c r="M141">
        <v>715.55</v>
      </c>
      <c r="N141">
        <v>712.27</v>
      </c>
      <c r="O141">
        <v>752</v>
      </c>
      <c r="P141">
        <v>342.1</v>
      </c>
      <c r="Q141">
        <v>1630347</v>
      </c>
      <c r="R141">
        <v>45462</v>
      </c>
    </row>
    <row r="142" spans="1:18" x14ac:dyDescent="0.25">
      <c r="A142" s="1">
        <v>45527</v>
      </c>
      <c r="B142" s="1" t="str">
        <f>TEXT(A142,"mmm"&amp;"yyy")</f>
        <v>Aug2024</v>
      </c>
      <c r="C142" t="s">
        <v>24</v>
      </c>
      <c r="D142" t="s">
        <v>34</v>
      </c>
      <c r="E142" t="s">
        <v>33</v>
      </c>
      <c r="F142">
        <v>2024</v>
      </c>
      <c r="G142" t="s">
        <v>20</v>
      </c>
      <c r="H142">
        <v>725</v>
      </c>
      <c r="I142">
        <v>725</v>
      </c>
      <c r="J142">
        <v>702</v>
      </c>
      <c r="K142">
        <v>710.7</v>
      </c>
      <c r="L142">
        <v>703</v>
      </c>
      <c r="M142">
        <v>703.85</v>
      </c>
      <c r="N142">
        <v>711.26</v>
      </c>
      <c r="O142">
        <v>752</v>
      </c>
      <c r="P142">
        <v>340.15</v>
      </c>
      <c r="Q142">
        <v>1374459</v>
      </c>
      <c r="R142">
        <v>38379</v>
      </c>
    </row>
    <row r="143" spans="1:18" x14ac:dyDescent="0.25">
      <c r="A143" s="1">
        <v>45526</v>
      </c>
      <c r="B143" s="1" t="str">
        <f>TEXT(A143,"mmm"&amp;"yyy")</f>
        <v>Aug2024</v>
      </c>
      <c r="C143" t="s">
        <v>17</v>
      </c>
      <c r="D143" t="s">
        <v>34</v>
      </c>
      <c r="E143" t="s">
        <v>33</v>
      </c>
      <c r="F143">
        <v>2024</v>
      </c>
      <c r="G143" t="s">
        <v>20</v>
      </c>
      <c r="H143">
        <v>719.5</v>
      </c>
      <c r="I143">
        <v>719.8</v>
      </c>
      <c r="J143">
        <v>702.45</v>
      </c>
      <c r="K143">
        <v>719.9</v>
      </c>
      <c r="L143">
        <v>717.75</v>
      </c>
      <c r="M143">
        <v>710.7</v>
      </c>
      <c r="N143">
        <v>708.98</v>
      </c>
      <c r="O143">
        <v>752</v>
      </c>
      <c r="P143">
        <v>340.15</v>
      </c>
      <c r="Q143">
        <v>1142599</v>
      </c>
      <c r="R143">
        <v>35039</v>
      </c>
    </row>
    <row r="144" spans="1:18" x14ac:dyDescent="0.25">
      <c r="A144" s="1">
        <v>45525</v>
      </c>
      <c r="B144" s="1" t="str">
        <f>TEXT(A144,"mmm"&amp;"yyy")</f>
        <v>Aug2024</v>
      </c>
      <c r="C144" t="s">
        <v>21</v>
      </c>
      <c r="D144" t="s">
        <v>34</v>
      </c>
      <c r="E144" t="s">
        <v>33</v>
      </c>
      <c r="F144">
        <v>2024</v>
      </c>
      <c r="G144" t="s">
        <v>20</v>
      </c>
      <c r="H144">
        <v>708.5</v>
      </c>
      <c r="I144">
        <v>721.6</v>
      </c>
      <c r="J144">
        <v>703.25</v>
      </c>
      <c r="K144">
        <v>709.9</v>
      </c>
      <c r="L144">
        <v>720</v>
      </c>
      <c r="M144">
        <v>719.9</v>
      </c>
      <c r="N144">
        <v>715.22</v>
      </c>
      <c r="O144">
        <v>752</v>
      </c>
      <c r="P144">
        <v>340.15</v>
      </c>
      <c r="Q144">
        <v>1985541</v>
      </c>
      <c r="R144">
        <v>55051</v>
      </c>
    </row>
    <row r="145" spans="1:18" x14ac:dyDescent="0.25">
      <c r="A145" s="1">
        <v>45524</v>
      </c>
      <c r="B145" s="1" t="str">
        <f>TEXT(A145,"mmm"&amp;"yyy")</f>
        <v>Aug2024</v>
      </c>
      <c r="C145" t="s">
        <v>22</v>
      </c>
      <c r="D145" t="s">
        <v>34</v>
      </c>
      <c r="E145" t="s">
        <v>33</v>
      </c>
      <c r="F145">
        <v>2024</v>
      </c>
      <c r="G145" t="s">
        <v>20</v>
      </c>
      <c r="H145">
        <v>671.35</v>
      </c>
      <c r="I145">
        <v>714.8</v>
      </c>
      <c r="J145">
        <v>667.9</v>
      </c>
      <c r="K145">
        <v>668.55</v>
      </c>
      <c r="L145">
        <v>709</v>
      </c>
      <c r="M145">
        <v>709.9</v>
      </c>
      <c r="N145">
        <v>698.01</v>
      </c>
      <c r="O145">
        <v>752</v>
      </c>
      <c r="P145">
        <v>340.15</v>
      </c>
      <c r="Q145">
        <v>3749595</v>
      </c>
      <c r="R145">
        <v>85297</v>
      </c>
    </row>
    <row r="146" spans="1:18" x14ac:dyDescent="0.25">
      <c r="A146" s="1">
        <v>45523</v>
      </c>
      <c r="B146" s="1" t="str">
        <f>TEXT(A146,"mmm"&amp;"yyy")</f>
        <v>Aug2024</v>
      </c>
      <c r="C146" t="s">
        <v>23</v>
      </c>
      <c r="D146" t="s">
        <v>34</v>
      </c>
      <c r="E146" t="s">
        <v>33</v>
      </c>
      <c r="F146">
        <v>2024</v>
      </c>
      <c r="G146" t="s">
        <v>20</v>
      </c>
      <c r="H146">
        <v>665.1</v>
      </c>
      <c r="I146">
        <v>674.25</v>
      </c>
      <c r="J146">
        <v>664</v>
      </c>
      <c r="K146">
        <v>665.05</v>
      </c>
      <c r="L146">
        <v>668</v>
      </c>
      <c r="M146">
        <v>668.55</v>
      </c>
      <c r="N146">
        <v>669.94</v>
      </c>
      <c r="O146">
        <v>752</v>
      </c>
      <c r="P146">
        <v>340.15</v>
      </c>
      <c r="Q146">
        <v>1292127</v>
      </c>
      <c r="R146">
        <v>70056</v>
      </c>
    </row>
    <row r="147" spans="1:18" x14ac:dyDescent="0.25">
      <c r="A147" s="1">
        <v>45520</v>
      </c>
      <c r="B147" s="1" t="str">
        <f>TEXT(A147,"mmm"&amp;"yyy")</f>
        <v>Aug2024</v>
      </c>
      <c r="C147" t="s">
        <v>24</v>
      </c>
      <c r="D147" t="s">
        <v>34</v>
      </c>
      <c r="E147" t="s">
        <v>33</v>
      </c>
      <c r="F147">
        <v>2024</v>
      </c>
      <c r="G147" t="s">
        <v>20</v>
      </c>
      <c r="H147">
        <v>660.1</v>
      </c>
      <c r="I147">
        <v>667.3</v>
      </c>
      <c r="J147">
        <v>649.29999999999995</v>
      </c>
      <c r="K147">
        <v>645.95000000000005</v>
      </c>
      <c r="L147">
        <v>663.4</v>
      </c>
      <c r="M147">
        <v>665.05</v>
      </c>
      <c r="N147">
        <v>658.72</v>
      </c>
      <c r="O147">
        <v>752</v>
      </c>
      <c r="P147">
        <v>340</v>
      </c>
      <c r="Q147">
        <v>1244705</v>
      </c>
      <c r="R147">
        <v>62863</v>
      </c>
    </row>
    <row r="148" spans="1:18" x14ac:dyDescent="0.25">
      <c r="A148" s="1">
        <v>45518</v>
      </c>
      <c r="B148" s="1" t="str">
        <f>TEXT(A148,"mmm"&amp;"yyy")</f>
        <v>Aug2024</v>
      </c>
      <c r="C148" t="s">
        <v>21</v>
      </c>
      <c r="D148" t="s">
        <v>34</v>
      </c>
      <c r="E148" t="s">
        <v>33</v>
      </c>
      <c r="F148">
        <v>2024</v>
      </c>
      <c r="G148" t="s">
        <v>20</v>
      </c>
      <c r="H148">
        <v>679.15</v>
      </c>
      <c r="I148">
        <v>679.3</v>
      </c>
      <c r="J148">
        <v>642.04999999999995</v>
      </c>
      <c r="K148">
        <v>672.55</v>
      </c>
      <c r="L148">
        <v>646</v>
      </c>
      <c r="M148">
        <v>645.95000000000005</v>
      </c>
      <c r="N148">
        <v>653.33000000000004</v>
      </c>
      <c r="O148">
        <v>752</v>
      </c>
      <c r="P148">
        <v>340</v>
      </c>
      <c r="Q148">
        <v>2440039</v>
      </c>
      <c r="R148">
        <v>98750</v>
      </c>
    </row>
    <row r="149" spans="1:18" x14ac:dyDescent="0.25">
      <c r="A149" s="1">
        <v>45517</v>
      </c>
      <c r="B149" s="1" t="str">
        <f>TEXT(A149,"mmm"&amp;"yyy")</f>
        <v>Aug2024</v>
      </c>
      <c r="C149" t="s">
        <v>22</v>
      </c>
      <c r="D149" t="s">
        <v>34</v>
      </c>
      <c r="E149" t="s">
        <v>33</v>
      </c>
      <c r="F149">
        <v>2024</v>
      </c>
      <c r="G149" t="s">
        <v>20</v>
      </c>
      <c r="H149">
        <v>690.9</v>
      </c>
      <c r="I149">
        <v>692.2</v>
      </c>
      <c r="J149">
        <v>670</v>
      </c>
      <c r="K149">
        <v>689.1</v>
      </c>
      <c r="L149">
        <v>677</v>
      </c>
      <c r="M149">
        <v>672.55</v>
      </c>
      <c r="N149">
        <v>678.73</v>
      </c>
      <c r="O149">
        <v>752</v>
      </c>
      <c r="P149">
        <v>340</v>
      </c>
      <c r="Q149">
        <v>1768877</v>
      </c>
      <c r="R149">
        <v>61940</v>
      </c>
    </row>
    <row r="150" spans="1:18" x14ac:dyDescent="0.25">
      <c r="A150" s="1">
        <v>45516</v>
      </c>
      <c r="B150" s="1" t="str">
        <f>TEXT(A150,"mmm"&amp;"yyy")</f>
        <v>Aug2024</v>
      </c>
      <c r="C150" t="s">
        <v>23</v>
      </c>
      <c r="D150" t="s">
        <v>34</v>
      </c>
      <c r="E150" t="s">
        <v>33</v>
      </c>
      <c r="F150">
        <v>2024</v>
      </c>
      <c r="G150" t="s">
        <v>20</v>
      </c>
      <c r="H150">
        <v>702</v>
      </c>
      <c r="I150">
        <v>702</v>
      </c>
      <c r="J150">
        <v>682.1</v>
      </c>
      <c r="K150">
        <v>703</v>
      </c>
      <c r="L150">
        <v>688.5</v>
      </c>
      <c r="M150">
        <v>689.1</v>
      </c>
      <c r="N150">
        <v>688.96</v>
      </c>
      <c r="O150">
        <v>752</v>
      </c>
      <c r="P150">
        <v>340</v>
      </c>
      <c r="Q150">
        <v>2143235</v>
      </c>
      <c r="R150">
        <v>73040</v>
      </c>
    </row>
    <row r="151" spans="1:18" x14ac:dyDescent="0.25">
      <c r="A151" s="1">
        <v>45513</v>
      </c>
      <c r="B151" s="1" t="str">
        <f>TEXT(A151,"mmm"&amp;"yyy")</f>
        <v>Aug2024</v>
      </c>
      <c r="C151" t="s">
        <v>24</v>
      </c>
      <c r="D151" t="s">
        <v>34</v>
      </c>
      <c r="E151" t="s">
        <v>33</v>
      </c>
      <c r="F151">
        <v>2024</v>
      </c>
      <c r="G151" t="s">
        <v>20</v>
      </c>
      <c r="H151">
        <v>706</v>
      </c>
      <c r="I151">
        <v>715.5</v>
      </c>
      <c r="J151">
        <v>699.15</v>
      </c>
      <c r="K151">
        <v>699.45</v>
      </c>
      <c r="L151">
        <v>706.5</v>
      </c>
      <c r="M151">
        <v>703</v>
      </c>
      <c r="N151">
        <v>707.82</v>
      </c>
      <c r="O151">
        <v>752</v>
      </c>
      <c r="P151">
        <v>289.10000000000002</v>
      </c>
      <c r="Q151">
        <v>1777449</v>
      </c>
      <c r="R151">
        <v>68437</v>
      </c>
    </row>
    <row r="152" spans="1:18" x14ac:dyDescent="0.25">
      <c r="A152" s="1">
        <v>45512</v>
      </c>
      <c r="B152" s="1" t="str">
        <f>TEXT(A152,"mmm"&amp;"yyy")</f>
        <v>Aug2024</v>
      </c>
      <c r="C152" t="s">
        <v>17</v>
      </c>
      <c r="D152" t="s">
        <v>34</v>
      </c>
      <c r="E152" t="s">
        <v>33</v>
      </c>
      <c r="F152">
        <v>2024</v>
      </c>
      <c r="G152" t="s">
        <v>20</v>
      </c>
      <c r="H152">
        <v>690</v>
      </c>
      <c r="I152">
        <v>718</v>
      </c>
      <c r="J152">
        <v>682.3</v>
      </c>
      <c r="K152">
        <v>690</v>
      </c>
      <c r="L152">
        <v>697</v>
      </c>
      <c r="M152">
        <v>699.45</v>
      </c>
      <c r="N152">
        <v>702.17</v>
      </c>
      <c r="O152">
        <v>752</v>
      </c>
      <c r="P152">
        <v>289.10000000000002</v>
      </c>
      <c r="Q152">
        <v>2822564</v>
      </c>
      <c r="R152">
        <v>99384</v>
      </c>
    </row>
    <row r="153" spans="1:18" x14ac:dyDescent="0.25">
      <c r="A153" s="1">
        <v>45511</v>
      </c>
      <c r="B153" s="1" t="str">
        <f>TEXT(A153,"mmm"&amp;"yyy")</f>
        <v>Aug2024</v>
      </c>
      <c r="C153" t="s">
        <v>21</v>
      </c>
      <c r="D153" t="s">
        <v>34</v>
      </c>
      <c r="E153" t="s">
        <v>33</v>
      </c>
      <c r="F153">
        <v>2024</v>
      </c>
      <c r="G153" t="s">
        <v>20</v>
      </c>
      <c r="H153">
        <v>695.5</v>
      </c>
      <c r="I153">
        <v>698.2</v>
      </c>
      <c r="J153">
        <v>677.55</v>
      </c>
      <c r="K153">
        <v>683.4</v>
      </c>
      <c r="L153">
        <v>689.7</v>
      </c>
      <c r="M153">
        <v>690</v>
      </c>
      <c r="N153">
        <v>684.49</v>
      </c>
      <c r="O153">
        <v>752</v>
      </c>
      <c r="P153">
        <v>289.10000000000002</v>
      </c>
      <c r="Q153">
        <v>2419831</v>
      </c>
      <c r="R153">
        <v>87974</v>
      </c>
    </row>
    <row r="154" spans="1:18" x14ac:dyDescent="0.25">
      <c r="A154" s="1">
        <v>45510</v>
      </c>
      <c r="B154" s="1" t="str">
        <f>TEXT(A154,"mmm"&amp;"yyy")</f>
        <v>Aug2024</v>
      </c>
      <c r="C154" t="s">
        <v>22</v>
      </c>
      <c r="D154" t="s">
        <v>34</v>
      </c>
      <c r="E154" t="s">
        <v>33</v>
      </c>
      <c r="F154">
        <v>2024</v>
      </c>
      <c r="G154" t="s">
        <v>20</v>
      </c>
      <c r="H154">
        <v>689.95</v>
      </c>
      <c r="I154">
        <v>704</v>
      </c>
      <c r="J154">
        <v>680</v>
      </c>
      <c r="K154">
        <v>684.45</v>
      </c>
      <c r="L154">
        <v>682.5</v>
      </c>
      <c r="M154">
        <v>683.4</v>
      </c>
      <c r="N154">
        <v>690.8</v>
      </c>
      <c r="O154">
        <v>752</v>
      </c>
      <c r="P154">
        <v>289.10000000000002</v>
      </c>
      <c r="Q154">
        <v>2635441</v>
      </c>
      <c r="R154">
        <v>98231</v>
      </c>
    </row>
    <row r="155" spans="1:18" x14ac:dyDescent="0.25">
      <c r="A155" s="1">
        <v>45509</v>
      </c>
      <c r="B155" s="1" t="str">
        <f>TEXT(A155,"mmm"&amp;"yyy")</f>
        <v>Aug2024</v>
      </c>
      <c r="C155" t="s">
        <v>23</v>
      </c>
      <c r="D155" t="s">
        <v>34</v>
      </c>
      <c r="E155" t="s">
        <v>33</v>
      </c>
      <c r="F155">
        <v>2024</v>
      </c>
      <c r="G155" t="s">
        <v>20</v>
      </c>
      <c r="H155">
        <v>691</v>
      </c>
      <c r="I155">
        <v>704.55</v>
      </c>
      <c r="J155">
        <v>676</v>
      </c>
      <c r="K155">
        <v>722.05</v>
      </c>
      <c r="L155">
        <v>684</v>
      </c>
      <c r="M155">
        <v>684.45</v>
      </c>
      <c r="N155">
        <v>687.51</v>
      </c>
      <c r="O155">
        <v>752</v>
      </c>
      <c r="P155">
        <v>289.10000000000002</v>
      </c>
      <c r="Q155">
        <v>2592232</v>
      </c>
      <c r="R155">
        <v>100344</v>
      </c>
    </row>
    <row r="156" spans="1:18" x14ac:dyDescent="0.25">
      <c r="A156" s="1">
        <v>45506</v>
      </c>
      <c r="B156" s="1" t="str">
        <f>TEXT(A156,"mmm"&amp;"yyy")</f>
        <v>Aug2024</v>
      </c>
      <c r="C156" t="s">
        <v>24</v>
      </c>
      <c r="D156" t="s">
        <v>34</v>
      </c>
      <c r="E156" t="s">
        <v>33</v>
      </c>
      <c r="F156">
        <v>2024</v>
      </c>
      <c r="G156" t="s">
        <v>20</v>
      </c>
      <c r="H156">
        <v>735</v>
      </c>
      <c r="I156">
        <v>735.15</v>
      </c>
      <c r="J156">
        <v>711</v>
      </c>
      <c r="K156">
        <v>727.65</v>
      </c>
      <c r="L156">
        <v>722.85</v>
      </c>
      <c r="M156">
        <v>722.05</v>
      </c>
      <c r="N156">
        <v>720.34</v>
      </c>
      <c r="O156">
        <v>752</v>
      </c>
      <c r="P156">
        <v>286</v>
      </c>
      <c r="Q156">
        <v>1620560</v>
      </c>
      <c r="R156">
        <v>59418</v>
      </c>
    </row>
    <row r="157" spans="1:18" x14ac:dyDescent="0.25">
      <c r="A157" s="1">
        <v>45505</v>
      </c>
      <c r="B157" s="1" t="str">
        <f>TEXT(A157,"mmm"&amp;"yyy")</f>
        <v>Aug2024</v>
      </c>
      <c r="C157" t="s">
        <v>17</v>
      </c>
      <c r="D157" t="s">
        <v>34</v>
      </c>
      <c r="E157" t="s">
        <v>33</v>
      </c>
      <c r="F157">
        <v>2024</v>
      </c>
      <c r="G157" t="s">
        <v>20</v>
      </c>
      <c r="H157">
        <v>728.5</v>
      </c>
      <c r="I157">
        <v>748</v>
      </c>
      <c r="J157">
        <v>722.55</v>
      </c>
      <c r="K157">
        <v>728</v>
      </c>
      <c r="L157">
        <v>731.8</v>
      </c>
      <c r="M157">
        <v>727.65</v>
      </c>
      <c r="N157">
        <v>736.58</v>
      </c>
      <c r="O157">
        <v>752</v>
      </c>
      <c r="P157">
        <v>286</v>
      </c>
      <c r="Q157">
        <v>4012480</v>
      </c>
      <c r="R157">
        <v>90029</v>
      </c>
    </row>
    <row r="158" spans="1:18" x14ac:dyDescent="0.25">
      <c r="A158" s="1">
        <v>45504</v>
      </c>
      <c r="B158" s="1" t="str">
        <f>TEXT(A158,"mmm"&amp;"yyy")</f>
        <v>Jul2024</v>
      </c>
      <c r="C158" t="s">
        <v>21</v>
      </c>
      <c r="D158" t="s">
        <v>35</v>
      </c>
      <c r="E158" t="s">
        <v>33</v>
      </c>
      <c r="F158">
        <v>2024</v>
      </c>
      <c r="G158" t="s">
        <v>20</v>
      </c>
      <c r="H158">
        <v>722</v>
      </c>
      <c r="I158">
        <v>729.9</v>
      </c>
      <c r="J158">
        <v>716.8</v>
      </c>
      <c r="K158">
        <v>715.25</v>
      </c>
      <c r="L158">
        <v>727.3</v>
      </c>
      <c r="M158">
        <v>728</v>
      </c>
      <c r="N158">
        <v>726.19</v>
      </c>
      <c r="O158">
        <v>752</v>
      </c>
      <c r="P158">
        <v>286</v>
      </c>
      <c r="Q158">
        <v>2972729</v>
      </c>
      <c r="R158">
        <v>81279</v>
      </c>
    </row>
    <row r="159" spans="1:18" x14ac:dyDescent="0.25">
      <c r="A159" s="1">
        <v>45503</v>
      </c>
      <c r="B159" s="1" t="str">
        <f>TEXT(A159,"mmm"&amp;"yyy")</f>
        <v>Jul2024</v>
      </c>
      <c r="C159" t="s">
        <v>22</v>
      </c>
      <c r="D159" t="s">
        <v>35</v>
      </c>
      <c r="E159" t="s">
        <v>33</v>
      </c>
      <c r="F159">
        <v>2024</v>
      </c>
      <c r="G159" t="s">
        <v>20</v>
      </c>
      <c r="H159">
        <v>692</v>
      </c>
      <c r="I159">
        <v>728.5</v>
      </c>
      <c r="J159">
        <v>691.05</v>
      </c>
      <c r="K159">
        <v>692.25</v>
      </c>
      <c r="L159">
        <v>717</v>
      </c>
      <c r="M159">
        <v>715.25</v>
      </c>
      <c r="N159">
        <v>717.71</v>
      </c>
      <c r="O159">
        <v>752</v>
      </c>
      <c r="P159">
        <v>286</v>
      </c>
      <c r="Q159">
        <v>5078790</v>
      </c>
      <c r="R159">
        <v>103800</v>
      </c>
    </row>
    <row r="160" spans="1:18" x14ac:dyDescent="0.25">
      <c r="A160" s="1">
        <v>45502</v>
      </c>
      <c r="B160" s="1" t="str">
        <f>TEXT(A160,"mmm"&amp;"yyy")</f>
        <v>Jul2024</v>
      </c>
      <c r="C160" t="s">
        <v>23</v>
      </c>
      <c r="D160" t="s">
        <v>35</v>
      </c>
      <c r="E160" t="s">
        <v>33</v>
      </c>
      <c r="F160">
        <v>2024</v>
      </c>
      <c r="G160" t="s">
        <v>20</v>
      </c>
      <c r="H160">
        <v>698.05</v>
      </c>
      <c r="I160">
        <v>702.7</v>
      </c>
      <c r="J160">
        <v>680.7</v>
      </c>
      <c r="K160">
        <v>693.55</v>
      </c>
      <c r="L160">
        <v>691.5</v>
      </c>
      <c r="M160">
        <v>692.25</v>
      </c>
      <c r="N160">
        <v>688.61</v>
      </c>
      <c r="O160">
        <v>752</v>
      </c>
      <c r="P160">
        <v>286</v>
      </c>
      <c r="Q160">
        <v>3882488</v>
      </c>
      <c r="R160">
        <v>98393</v>
      </c>
    </row>
    <row r="161" spans="1:18" x14ac:dyDescent="0.25">
      <c r="A161" s="1">
        <v>45499</v>
      </c>
      <c r="B161" s="1" t="str">
        <f>TEXT(A161,"mmm"&amp;"yyy")</f>
        <v>Jul2024</v>
      </c>
      <c r="C161" t="s">
        <v>24</v>
      </c>
      <c r="D161" t="s">
        <v>35</v>
      </c>
      <c r="E161" t="s">
        <v>33</v>
      </c>
      <c r="F161">
        <v>2024</v>
      </c>
      <c r="G161" t="s">
        <v>20</v>
      </c>
      <c r="H161">
        <v>670</v>
      </c>
      <c r="I161">
        <v>705.8</v>
      </c>
      <c r="J161">
        <v>670</v>
      </c>
      <c r="K161">
        <v>668.15</v>
      </c>
      <c r="L161">
        <v>693</v>
      </c>
      <c r="M161">
        <v>693.55</v>
      </c>
      <c r="N161">
        <v>693.69</v>
      </c>
      <c r="O161">
        <v>752</v>
      </c>
      <c r="P161">
        <v>285</v>
      </c>
      <c r="Q161">
        <v>3724008</v>
      </c>
      <c r="R161">
        <v>98906</v>
      </c>
    </row>
    <row r="162" spans="1:18" x14ac:dyDescent="0.25">
      <c r="A162" s="1">
        <v>45498</v>
      </c>
      <c r="B162" s="1" t="str">
        <f>TEXT(A162,"mmm"&amp;"yyy")</f>
        <v>Jul2024</v>
      </c>
      <c r="C162" t="s">
        <v>17</v>
      </c>
      <c r="D162" t="s">
        <v>35</v>
      </c>
      <c r="E162" t="s">
        <v>33</v>
      </c>
      <c r="F162">
        <v>2024</v>
      </c>
      <c r="G162" t="s">
        <v>20</v>
      </c>
      <c r="H162">
        <v>682.35</v>
      </c>
      <c r="I162">
        <v>689.45</v>
      </c>
      <c r="J162">
        <v>666</v>
      </c>
      <c r="K162">
        <v>682.35</v>
      </c>
      <c r="L162">
        <v>669.5</v>
      </c>
      <c r="M162">
        <v>668.15</v>
      </c>
      <c r="N162">
        <v>674.74</v>
      </c>
      <c r="O162">
        <v>752</v>
      </c>
      <c r="P162">
        <v>285</v>
      </c>
      <c r="Q162">
        <v>3964959</v>
      </c>
      <c r="R162">
        <v>120246</v>
      </c>
    </row>
    <row r="163" spans="1:18" x14ac:dyDescent="0.25">
      <c r="A163" s="1">
        <v>45497</v>
      </c>
      <c r="B163" s="1" t="str">
        <f>TEXT(A163,"mmm"&amp;"yyy")</f>
        <v>Jul2024</v>
      </c>
      <c r="C163" t="s">
        <v>21</v>
      </c>
      <c r="D163" t="s">
        <v>35</v>
      </c>
      <c r="E163" t="s">
        <v>33</v>
      </c>
      <c r="F163">
        <v>2024</v>
      </c>
      <c r="G163" t="s">
        <v>20</v>
      </c>
      <c r="H163">
        <v>699</v>
      </c>
      <c r="I163">
        <v>703.9</v>
      </c>
      <c r="J163">
        <v>680.1</v>
      </c>
      <c r="K163">
        <v>697.1</v>
      </c>
      <c r="L163">
        <v>685.5</v>
      </c>
      <c r="M163">
        <v>682.35</v>
      </c>
      <c r="N163">
        <v>692.31</v>
      </c>
      <c r="O163">
        <v>752</v>
      </c>
      <c r="P163">
        <v>285</v>
      </c>
      <c r="Q163">
        <v>1984059</v>
      </c>
      <c r="R163">
        <v>64474</v>
      </c>
    </row>
    <row r="164" spans="1:18" x14ac:dyDescent="0.25">
      <c r="A164" s="1">
        <v>45496</v>
      </c>
      <c r="B164" s="1" t="str">
        <f>TEXT(A164,"mmm"&amp;"yyy")</f>
        <v>Jul2024</v>
      </c>
      <c r="C164" t="s">
        <v>22</v>
      </c>
      <c r="D164" t="s">
        <v>35</v>
      </c>
      <c r="E164" t="s">
        <v>33</v>
      </c>
      <c r="F164">
        <v>2024</v>
      </c>
      <c r="G164" t="s">
        <v>20</v>
      </c>
      <c r="H164">
        <v>717.8</v>
      </c>
      <c r="I164">
        <v>731.95</v>
      </c>
      <c r="J164">
        <v>682</v>
      </c>
      <c r="K164">
        <v>709.8</v>
      </c>
      <c r="L164">
        <v>696</v>
      </c>
      <c r="M164">
        <v>697.1</v>
      </c>
      <c r="N164">
        <v>708.19</v>
      </c>
      <c r="O164">
        <v>752</v>
      </c>
      <c r="P164">
        <v>285</v>
      </c>
      <c r="Q164">
        <v>4066282</v>
      </c>
      <c r="R164">
        <v>119679</v>
      </c>
    </row>
    <row r="165" spans="1:18" x14ac:dyDescent="0.25">
      <c r="A165" s="1">
        <v>45495</v>
      </c>
      <c r="B165" s="1" t="str">
        <f>TEXT(A165,"mmm"&amp;"yyy")</f>
        <v>Jul2024</v>
      </c>
      <c r="C165" t="s">
        <v>23</v>
      </c>
      <c r="D165" t="s">
        <v>35</v>
      </c>
      <c r="E165" t="s">
        <v>33</v>
      </c>
      <c r="F165">
        <v>2024</v>
      </c>
      <c r="G165" t="s">
        <v>20</v>
      </c>
      <c r="H165">
        <v>717</v>
      </c>
      <c r="I165">
        <v>726</v>
      </c>
      <c r="J165">
        <v>702.55</v>
      </c>
      <c r="K165">
        <v>705</v>
      </c>
      <c r="L165">
        <v>707.55</v>
      </c>
      <c r="M165">
        <v>709.8</v>
      </c>
      <c r="N165">
        <v>709.56</v>
      </c>
      <c r="O165">
        <v>752</v>
      </c>
      <c r="P165">
        <v>285</v>
      </c>
      <c r="Q165">
        <v>3969726</v>
      </c>
      <c r="R165">
        <v>123555</v>
      </c>
    </row>
    <row r="166" spans="1:18" x14ac:dyDescent="0.25">
      <c r="A166" s="1">
        <v>45492</v>
      </c>
      <c r="B166" s="1" t="str">
        <f>TEXT(A166,"mmm"&amp;"yyy")</f>
        <v>Jul2024</v>
      </c>
      <c r="C166" t="s">
        <v>24</v>
      </c>
      <c r="D166" t="s">
        <v>35</v>
      </c>
      <c r="E166" t="s">
        <v>33</v>
      </c>
      <c r="F166">
        <v>2024</v>
      </c>
      <c r="G166" t="s">
        <v>20</v>
      </c>
      <c r="H166">
        <v>712.9</v>
      </c>
      <c r="I166">
        <v>717.75</v>
      </c>
      <c r="J166">
        <v>685.55</v>
      </c>
      <c r="K166">
        <v>712.75</v>
      </c>
      <c r="L166">
        <v>702</v>
      </c>
      <c r="M166">
        <v>705</v>
      </c>
      <c r="N166">
        <v>704.86</v>
      </c>
      <c r="O166">
        <v>752</v>
      </c>
      <c r="P166">
        <v>283.25</v>
      </c>
      <c r="Q166">
        <v>2884304</v>
      </c>
      <c r="R166">
        <v>71475</v>
      </c>
    </row>
    <row r="167" spans="1:18" x14ac:dyDescent="0.25">
      <c r="A167" s="1">
        <v>45491</v>
      </c>
      <c r="B167" s="1" t="str">
        <f>TEXT(A167,"mmm"&amp;"yyy")</f>
        <v>Jul2024</v>
      </c>
      <c r="C167" t="s">
        <v>17</v>
      </c>
      <c r="D167" t="s">
        <v>35</v>
      </c>
      <c r="E167" t="s">
        <v>33</v>
      </c>
      <c r="F167">
        <v>2024</v>
      </c>
      <c r="G167" t="s">
        <v>20</v>
      </c>
      <c r="H167">
        <v>710</v>
      </c>
      <c r="I167">
        <v>717.25</v>
      </c>
      <c r="J167">
        <v>696.3</v>
      </c>
      <c r="K167">
        <v>708.35</v>
      </c>
      <c r="L167">
        <v>711</v>
      </c>
      <c r="M167">
        <v>712.75</v>
      </c>
      <c r="N167">
        <v>704.93</v>
      </c>
      <c r="O167">
        <v>752</v>
      </c>
      <c r="P167">
        <v>283.25</v>
      </c>
      <c r="Q167">
        <v>2792221</v>
      </c>
      <c r="R167">
        <v>77453</v>
      </c>
    </row>
    <row r="168" spans="1:18" x14ac:dyDescent="0.25">
      <c r="A168" s="1">
        <v>45489</v>
      </c>
      <c r="B168" s="1" t="str">
        <f>TEXT(A168,"mmm"&amp;"yyy")</f>
        <v>Jul2024</v>
      </c>
      <c r="C168" t="s">
        <v>22</v>
      </c>
      <c r="D168" t="s">
        <v>35</v>
      </c>
      <c r="E168" t="s">
        <v>33</v>
      </c>
      <c r="F168">
        <v>2024</v>
      </c>
      <c r="G168" t="s">
        <v>20</v>
      </c>
      <c r="H168">
        <v>718.95</v>
      </c>
      <c r="I168">
        <v>723.4</v>
      </c>
      <c r="J168">
        <v>705</v>
      </c>
      <c r="K168">
        <v>720.45</v>
      </c>
      <c r="L168">
        <v>711.45</v>
      </c>
      <c r="M168">
        <v>708.35</v>
      </c>
      <c r="N168">
        <v>713.16</v>
      </c>
      <c r="O168">
        <v>752</v>
      </c>
      <c r="P168">
        <v>283.25</v>
      </c>
      <c r="Q168">
        <v>2140798</v>
      </c>
      <c r="R168">
        <v>59180</v>
      </c>
    </row>
    <row r="169" spans="1:18" x14ac:dyDescent="0.25">
      <c r="A169" s="1">
        <v>45488</v>
      </c>
      <c r="B169" s="1" t="str">
        <f>TEXT(A169,"mmm"&amp;"yyy")</f>
        <v>Jul2024</v>
      </c>
      <c r="C169" t="s">
        <v>23</v>
      </c>
      <c r="D169" t="s">
        <v>35</v>
      </c>
      <c r="E169" t="s">
        <v>33</v>
      </c>
      <c r="F169">
        <v>2024</v>
      </c>
      <c r="G169" t="s">
        <v>20</v>
      </c>
      <c r="H169">
        <v>721.35</v>
      </c>
      <c r="I169">
        <v>724</v>
      </c>
      <c r="J169">
        <v>699.4</v>
      </c>
      <c r="K169">
        <v>713.15</v>
      </c>
      <c r="L169">
        <v>712.3</v>
      </c>
      <c r="M169">
        <v>720.45</v>
      </c>
      <c r="N169">
        <v>712.81</v>
      </c>
      <c r="O169">
        <v>752</v>
      </c>
      <c r="P169">
        <v>283.25</v>
      </c>
      <c r="Q169">
        <v>1560037</v>
      </c>
      <c r="R169">
        <v>58794</v>
      </c>
    </row>
    <row r="170" spans="1:18" x14ac:dyDescent="0.25">
      <c r="A170" s="1">
        <v>45485</v>
      </c>
      <c r="B170" s="1" t="str">
        <f>TEXT(A170,"mmm"&amp;"yyy")</f>
        <v>Jul2024</v>
      </c>
      <c r="C170" t="s">
        <v>24</v>
      </c>
      <c r="D170" t="s">
        <v>35</v>
      </c>
      <c r="E170" t="s">
        <v>33</v>
      </c>
      <c r="F170">
        <v>2024</v>
      </c>
      <c r="G170" t="s">
        <v>20</v>
      </c>
      <c r="H170">
        <v>715</v>
      </c>
      <c r="I170">
        <v>722.9</v>
      </c>
      <c r="J170">
        <v>708</v>
      </c>
      <c r="K170">
        <v>713</v>
      </c>
      <c r="L170">
        <v>713.45</v>
      </c>
      <c r="M170">
        <v>713.15</v>
      </c>
      <c r="N170">
        <v>713.17</v>
      </c>
      <c r="O170">
        <v>752</v>
      </c>
      <c r="P170">
        <v>283.25</v>
      </c>
      <c r="Q170">
        <v>1542953</v>
      </c>
      <c r="R170">
        <v>50275</v>
      </c>
    </row>
    <row r="171" spans="1:18" x14ac:dyDescent="0.25">
      <c r="A171" s="1">
        <v>45484</v>
      </c>
      <c r="B171" s="1" t="str">
        <f>TEXT(A171,"mmm"&amp;"yyy")</f>
        <v>Jul2024</v>
      </c>
      <c r="C171" t="s">
        <v>17</v>
      </c>
      <c r="D171" t="s">
        <v>35</v>
      </c>
      <c r="E171" t="s">
        <v>33</v>
      </c>
      <c r="F171">
        <v>2024</v>
      </c>
      <c r="G171" t="s">
        <v>20</v>
      </c>
      <c r="H171">
        <v>731.7</v>
      </c>
      <c r="I171">
        <v>740.5</v>
      </c>
      <c r="J171">
        <v>710.1</v>
      </c>
      <c r="K171">
        <v>724.4</v>
      </c>
      <c r="L171">
        <v>715</v>
      </c>
      <c r="M171">
        <v>713</v>
      </c>
      <c r="N171">
        <v>724.37</v>
      </c>
      <c r="O171">
        <v>752</v>
      </c>
      <c r="P171">
        <v>283.25</v>
      </c>
      <c r="Q171">
        <v>2727483</v>
      </c>
      <c r="R171">
        <v>77080</v>
      </c>
    </row>
    <row r="172" spans="1:18" x14ac:dyDescent="0.25">
      <c r="A172" s="1">
        <v>45483</v>
      </c>
      <c r="B172" s="1" t="str">
        <f>TEXT(A172,"mmm"&amp;"yyy")</f>
        <v>Jul2024</v>
      </c>
      <c r="C172" t="s">
        <v>21</v>
      </c>
      <c r="D172" t="s">
        <v>35</v>
      </c>
      <c r="E172" t="s">
        <v>33</v>
      </c>
      <c r="F172">
        <v>2024</v>
      </c>
      <c r="G172" t="s">
        <v>20</v>
      </c>
      <c r="H172">
        <v>727</v>
      </c>
      <c r="I172">
        <v>728.8</v>
      </c>
      <c r="J172">
        <v>695.85</v>
      </c>
      <c r="K172">
        <v>723</v>
      </c>
      <c r="L172">
        <v>723.5</v>
      </c>
      <c r="M172">
        <v>724.4</v>
      </c>
      <c r="N172">
        <v>714.59</v>
      </c>
      <c r="O172">
        <v>752</v>
      </c>
      <c r="P172">
        <v>283.25</v>
      </c>
      <c r="Q172">
        <v>1544967</v>
      </c>
      <c r="R172">
        <v>71190</v>
      </c>
    </row>
    <row r="173" spans="1:18" x14ac:dyDescent="0.25">
      <c r="A173" s="1">
        <v>45482</v>
      </c>
      <c r="B173" s="1" t="str">
        <f>TEXT(A173,"mmm"&amp;"yyy")</f>
        <v>Jul2024</v>
      </c>
      <c r="C173" t="s">
        <v>22</v>
      </c>
      <c r="D173" t="s">
        <v>35</v>
      </c>
      <c r="E173" t="s">
        <v>33</v>
      </c>
      <c r="F173">
        <v>2024</v>
      </c>
      <c r="G173" t="s">
        <v>20</v>
      </c>
      <c r="H173">
        <v>742</v>
      </c>
      <c r="I173">
        <v>744.45</v>
      </c>
      <c r="J173">
        <v>719</v>
      </c>
      <c r="K173">
        <v>742.2</v>
      </c>
      <c r="L173">
        <v>720</v>
      </c>
      <c r="M173">
        <v>723</v>
      </c>
      <c r="N173">
        <v>730.51</v>
      </c>
      <c r="O173">
        <v>752</v>
      </c>
      <c r="P173">
        <v>283.25</v>
      </c>
      <c r="Q173">
        <v>1464545</v>
      </c>
      <c r="R173">
        <v>48546</v>
      </c>
    </row>
    <row r="174" spans="1:18" x14ac:dyDescent="0.25">
      <c r="A174" s="1">
        <v>45481</v>
      </c>
      <c r="B174" s="1" t="str">
        <f>TEXT(A174,"mmm"&amp;"yyy")</f>
        <v>Jul2024</v>
      </c>
      <c r="C174" t="s">
        <v>23</v>
      </c>
      <c r="D174" t="s">
        <v>35</v>
      </c>
      <c r="E174" t="s">
        <v>33</v>
      </c>
      <c r="F174">
        <v>2024</v>
      </c>
      <c r="G174" t="s">
        <v>20</v>
      </c>
      <c r="H174">
        <v>742.8</v>
      </c>
      <c r="I174">
        <v>746.85</v>
      </c>
      <c r="J174">
        <v>732.45</v>
      </c>
      <c r="K174">
        <v>736.6</v>
      </c>
      <c r="L174">
        <v>741.1</v>
      </c>
      <c r="M174">
        <v>742.2</v>
      </c>
      <c r="N174">
        <v>740.63</v>
      </c>
      <c r="O174">
        <v>752</v>
      </c>
      <c r="P174">
        <v>283.25</v>
      </c>
      <c r="Q174">
        <v>904143</v>
      </c>
      <c r="R174">
        <v>39720</v>
      </c>
    </row>
    <row r="175" spans="1:18" x14ac:dyDescent="0.25">
      <c r="A175" s="1">
        <v>45478</v>
      </c>
      <c r="B175" s="1" t="str">
        <f>TEXT(A175,"mmm"&amp;"yyy")</f>
        <v>Jul2024</v>
      </c>
      <c r="C175" t="s">
        <v>24</v>
      </c>
      <c r="D175" t="s">
        <v>35</v>
      </c>
      <c r="E175" t="s">
        <v>33</v>
      </c>
      <c r="F175">
        <v>2024</v>
      </c>
      <c r="G175" t="s">
        <v>20</v>
      </c>
      <c r="H175">
        <v>726.95</v>
      </c>
      <c r="I175">
        <v>749</v>
      </c>
      <c r="J175">
        <v>716.4</v>
      </c>
      <c r="K175">
        <v>725.05</v>
      </c>
      <c r="L175">
        <v>735.75</v>
      </c>
      <c r="M175">
        <v>736.6</v>
      </c>
      <c r="N175">
        <v>733.24</v>
      </c>
      <c r="O175">
        <v>752</v>
      </c>
      <c r="P175">
        <v>275</v>
      </c>
      <c r="Q175">
        <v>2439370</v>
      </c>
      <c r="R175">
        <v>69217</v>
      </c>
    </row>
    <row r="176" spans="1:18" x14ac:dyDescent="0.25">
      <c r="A176" s="1">
        <v>45477</v>
      </c>
      <c r="B176" s="1" t="str">
        <f>TEXT(A176,"mmm"&amp;"yyy")</f>
        <v>Jul2024</v>
      </c>
      <c r="C176" t="s">
        <v>17</v>
      </c>
      <c r="D176" t="s">
        <v>35</v>
      </c>
      <c r="E176" t="s">
        <v>33</v>
      </c>
      <c r="F176">
        <v>2024</v>
      </c>
      <c r="G176" t="s">
        <v>20</v>
      </c>
      <c r="H176">
        <v>732.7</v>
      </c>
      <c r="I176">
        <v>736.8</v>
      </c>
      <c r="J176">
        <v>722.1</v>
      </c>
      <c r="K176">
        <v>733.15</v>
      </c>
      <c r="L176">
        <v>725.5</v>
      </c>
      <c r="M176">
        <v>725.05</v>
      </c>
      <c r="N176">
        <v>729.14</v>
      </c>
      <c r="O176">
        <v>752</v>
      </c>
      <c r="P176">
        <v>275</v>
      </c>
      <c r="Q176">
        <v>1864598</v>
      </c>
      <c r="R176">
        <v>60986</v>
      </c>
    </row>
    <row r="177" spans="1:18" x14ac:dyDescent="0.25">
      <c r="A177" s="1">
        <v>45476</v>
      </c>
      <c r="B177" s="1" t="str">
        <f>TEXT(A177,"mmm"&amp;"yyy")</f>
        <v>Jul2024</v>
      </c>
      <c r="C177" t="s">
        <v>21</v>
      </c>
      <c r="D177" t="s">
        <v>35</v>
      </c>
      <c r="E177" t="s">
        <v>33</v>
      </c>
      <c r="F177">
        <v>2024</v>
      </c>
      <c r="G177" t="s">
        <v>20</v>
      </c>
      <c r="H177">
        <v>734</v>
      </c>
      <c r="I177">
        <v>739.6</v>
      </c>
      <c r="J177">
        <v>720</v>
      </c>
      <c r="K177">
        <v>730.5</v>
      </c>
      <c r="L177">
        <v>731.3</v>
      </c>
      <c r="M177">
        <v>733.15</v>
      </c>
      <c r="N177">
        <v>728.94</v>
      </c>
      <c r="O177">
        <v>752</v>
      </c>
      <c r="P177">
        <v>275</v>
      </c>
      <c r="Q177">
        <v>1748858</v>
      </c>
      <c r="R177">
        <v>51454</v>
      </c>
    </row>
    <row r="178" spans="1:18" x14ac:dyDescent="0.25">
      <c r="A178" s="1">
        <v>45475</v>
      </c>
      <c r="B178" s="1" t="str">
        <f>TEXT(A178,"mmm"&amp;"yyy")</f>
        <v>Jul2024</v>
      </c>
      <c r="C178" t="s">
        <v>22</v>
      </c>
      <c r="D178" t="s">
        <v>35</v>
      </c>
      <c r="E178" t="s">
        <v>33</v>
      </c>
      <c r="F178">
        <v>2024</v>
      </c>
      <c r="G178" t="s">
        <v>20</v>
      </c>
      <c r="H178">
        <v>750.4</v>
      </c>
      <c r="I178">
        <v>750.8</v>
      </c>
      <c r="J178">
        <v>727.4</v>
      </c>
      <c r="K178">
        <v>750.2</v>
      </c>
      <c r="L178">
        <v>733.8</v>
      </c>
      <c r="M178">
        <v>730.5</v>
      </c>
      <c r="N178">
        <v>734.82</v>
      </c>
      <c r="O178">
        <v>752</v>
      </c>
      <c r="P178">
        <v>275</v>
      </c>
      <c r="Q178">
        <v>2628190</v>
      </c>
      <c r="R178">
        <v>72539</v>
      </c>
    </row>
    <row r="179" spans="1:18" x14ac:dyDescent="0.25">
      <c r="A179" s="1">
        <v>45474</v>
      </c>
      <c r="B179" s="1" t="str">
        <f>TEXT(A179,"mmm"&amp;"yyy")</f>
        <v>Jul2024</v>
      </c>
      <c r="C179" t="s">
        <v>23</v>
      </c>
      <c r="D179" t="s">
        <v>35</v>
      </c>
      <c r="E179" t="s">
        <v>33</v>
      </c>
      <c r="F179">
        <v>2024</v>
      </c>
      <c r="G179" t="s">
        <v>20</v>
      </c>
      <c r="H179">
        <v>739.85</v>
      </c>
      <c r="I179">
        <v>752</v>
      </c>
      <c r="J179">
        <v>735.95</v>
      </c>
      <c r="K179">
        <v>734.5</v>
      </c>
      <c r="L179">
        <v>745.3</v>
      </c>
      <c r="M179">
        <v>750.2</v>
      </c>
      <c r="N179">
        <v>746.66</v>
      </c>
      <c r="O179">
        <v>752</v>
      </c>
      <c r="P179">
        <v>275</v>
      </c>
      <c r="Q179">
        <v>2266634</v>
      </c>
      <c r="R179">
        <v>62489</v>
      </c>
    </row>
    <row r="180" spans="1:18" x14ac:dyDescent="0.25">
      <c r="A180" s="1">
        <v>45471</v>
      </c>
      <c r="B180" s="1" t="str">
        <f>TEXT(A180,"mmm"&amp;"yyy")</f>
        <v>Jun2024</v>
      </c>
      <c r="C180" t="s">
        <v>24</v>
      </c>
      <c r="D180" t="s">
        <v>36</v>
      </c>
      <c r="E180" t="s">
        <v>37</v>
      </c>
      <c r="F180">
        <v>2024</v>
      </c>
      <c r="G180" t="s">
        <v>20</v>
      </c>
      <c r="H180">
        <v>739.25</v>
      </c>
      <c r="I180">
        <v>744</v>
      </c>
      <c r="J180">
        <v>726.35</v>
      </c>
      <c r="K180">
        <v>735.55</v>
      </c>
      <c r="L180">
        <v>731.5</v>
      </c>
      <c r="M180">
        <v>734.5</v>
      </c>
      <c r="N180">
        <v>735.26</v>
      </c>
      <c r="O180">
        <v>750</v>
      </c>
      <c r="P180">
        <v>256.35000000000002</v>
      </c>
      <c r="Q180">
        <v>1977411</v>
      </c>
      <c r="R180">
        <v>67018</v>
      </c>
    </row>
    <row r="181" spans="1:18" x14ac:dyDescent="0.25">
      <c r="A181" s="1">
        <v>45470</v>
      </c>
      <c r="B181" s="1" t="str">
        <f>TEXT(A181,"mmm"&amp;"yyy")</f>
        <v>Jun2024</v>
      </c>
      <c r="C181" t="s">
        <v>17</v>
      </c>
      <c r="D181" t="s">
        <v>36</v>
      </c>
      <c r="E181" t="s">
        <v>37</v>
      </c>
      <c r="F181">
        <v>2024</v>
      </c>
      <c r="G181" t="s">
        <v>20</v>
      </c>
      <c r="H181">
        <v>720</v>
      </c>
      <c r="I181">
        <v>740.95</v>
      </c>
      <c r="J181">
        <v>717.45</v>
      </c>
      <c r="K181">
        <v>712.3</v>
      </c>
      <c r="L181">
        <v>738.7</v>
      </c>
      <c r="M181">
        <v>735.55</v>
      </c>
      <c r="N181">
        <v>731.96</v>
      </c>
      <c r="O181">
        <v>750</v>
      </c>
      <c r="P181">
        <v>256.35000000000002</v>
      </c>
      <c r="Q181">
        <v>5922164</v>
      </c>
      <c r="R181">
        <v>136235</v>
      </c>
    </row>
    <row r="182" spans="1:18" x14ac:dyDescent="0.25">
      <c r="A182" s="1">
        <v>45469</v>
      </c>
      <c r="B182" s="1" t="str">
        <f>TEXT(A182,"mmm"&amp;"yyy")</f>
        <v>Jun2024</v>
      </c>
      <c r="C182" t="s">
        <v>21</v>
      </c>
      <c r="D182" t="s">
        <v>36</v>
      </c>
      <c r="E182" t="s">
        <v>37</v>
      </c>
      <c r="F182">
        <v>2024</v>
      </c>
      <c r="G182" t="s">
        <v>20</v>
      </c>
      <c r="H182">
        <v>723</v>
      </c>
      <c r="I182">
        <v>726.65</v>
      </c>
      <c r="J182">
        <v>709.05</v>
      </c>
      <c r="K182">
        <v>720.1</v>
      </c>
      <c r="L182">
        <v>711.9</v>
      </c>
      <c r="M182">
        <v>712.3</v>
      </c>
      <c r="N182">
        <v>717.19</v>
      </c>
      <c r="O182">
        <v>750</v>
      </c>
      <c r="P182">
        <v>256.35000000000002</v>
      </c>
      <c r="Q182">
        <v>2418464</v>
      </c>
      <c r="R182">
        <v>62039</v>
      </c>
    </row>
    <row r="183" spans="1:18" x14ac:dyDescent="0.25">
      <c r="A183" s="1">
        <v>45468</v>
      </c>
      <c r="B183" s="1" t="str">
        <f>TEXT(A183,"mmm"&amp;"yyy")</f>
        <v>Jun2024</v>
      </c>
      <c r="C183" t="s">
        <v>22</v>
      </c>
      <c r="D183" t="s">
        <v>36</v>
      </c>
      <c r="E183" t="s">
        <v>37</v>
      </c>
      <c r="F183">
        <v>2024</v>
      </c>
      <c r="G183" t="s">
        <v>20</v>
      </c>
      <c r="H183">
        <v>748</v>
      </c>
      <c r="I183">
        <v>750</v>
      </c>
      <c r="J183">
        <v>716.2</v>
      </c>
      <c r="K183">
        <v>747.1</v>
      </c>
      <c r="L183">
        <v>721.5</v>
      </c>
      <c r="M183">
        <v>720.1</v>
      </c>
      <c r="N183">
        <v>730.59</v>
      </c>
      <c r="O183">
        <v>750</v>
      </c>
      <c r="P183">
        <v>256.35000000000002</v>
      </c>
      <c r="Q183">
        <v>3018884</v>
      </c>
      <c r="R183">
        <v>71920</v>
      </c>
    </row>
    <row r="184" spans="1:18" x14ac:dyDescent="0.25">
      <c r="A184" s="1">
        <v>45467</v>
      </c>
      <c r="B184" s="1" t="str">
        <f>TEXT(A184,"mmm"&amp;"yyy")</f>
        <v>Jun2024</v>
      </c>
      <c r="C184" t="s">
        <v>23</v>
      </c>
      <c r="D184" t="s">
        <v>36</v>
      </c>
      <c r="E184" t="s">
        <v>37</v>
      </c>
      <c r="F184">
        <v>2024</v>
      </c>
      <c r="G184" t="s">
        <v>20</v>
      </c>
      <c r="H184">
        <v>730</v>
      </c>
      <c r="I184">
        <v>750</v>
      </c>
      <c r="J184">
        <v>724</v>
      </c>
      <c r="K184">
        <v>723.65</v>
      </c>
      <c r="L184">
        <v>745</v>
      </c>
      <c r="M184">
        <v>747.1</v>
      </c>
      <c r="N184">
        <v>737.8</v>
      </c>
      <c r="O184">
        <v>750</v>
      </c>
      <c r="P184">
        <v>256.35000000000002</v>
      </c>
      <c r="Q184">
        <v>4406730</v>
      </c>
      <c r="R184">
        <v>92205</v>
      </c>
    </row>
    <row r="185" spans="1:18" x14ac:dyDescent="0.25">
      <c r="A185" s="1">
        <v>45464</v>
      </c>
      <c r="B185" s="1" t="str">
        <f>TEXT(A185,"mmm"&amp;"yyy")</f>
        <v>Jun2024</v>
      </c>
      <c r="C185" t="s">
        <v>24</v>
      </c>
      <c r="D185" t="s">
        <v>36</v>
      </c>
      <c r="E185" t="s">
        <v>37</v>
      </c>
      <c r="F185">
        <v>2024</v>
      </c>
      <c r="G185" t="s">
        <v>20</v>
      </c>
      <c r="H185">
        <v>707.1</v>
      </c>
      <c r="I185">
        <v>728</v>
      </c>
      <c r="J185">
        <v>700</v>
      </c>
      <c r="K185">
        <v>707.1</v>
      </c>
      <c r="L185">
        <v>721</v>
      </c>
      <c r="M185">
        <v>723.65</v>
      </c>
      <c r="N185">
        <v>719.75</v>
      </c>
      <c r="O185">
        <v>728</v>
      </c>
      <c r="P185">
        <v>251.55</v>
      </c>
      <c r="Q185">
        <v>8848978</v>
      </c>
      <c r="R185">
        <v>93741</v>
      </c>
    </row>
    <row r="186" spans="1:18" x14ac:dyDescent="0.25">
      <c r="A186" s="1">
        <v>45463</v>
      </c>
      <c r="B186" s="1" t="str">
        <f>TEXT(A186,"mmm"&amp;"yyy")</f>
        <v>Jun2024</v>
      </c>
      <c r="C186" t="s">
        <v>17</v>
      </c>
      <c r="D186" t="s">
        <v>36</v>
      </c>
      <c r="E186" t="s">
        <v>37</v>
      </c>
      <c r="F186">
        <v>2024</v>
      </c>
      <c r="G186" t="s">
        <v>20</v>
      </c>
      <c r="H186">
        <v>700.5</v>
      </c>
      <c r="I186">
        <v>711.85</v>
      </c>
      <c r="J186">
        <v>697.5</v>
      </c>
      <c r="K186">
        <v>698.4</v>
      </c>
      <c r="L186">
        <v>705</v>
      </c>
      <c r="M186">
        <v>707.1</v>
      </c>
      <c r="N186">
        <v>704.59</v>
      </c>
      <c r="O186">
        <v>713.75</v>
      </c>
      <c r="P186">
        <v>251.55</v>
      </c>
      <c r="Q186">
        <v>2111730</v>
      </c>
      <c r="R186">
        <v>43463</v>
      </c>
    </row>
    <row r="187" spans="1:18" x14ac:dyDescent="0.25">
      <c r="A187" s="1">
        <v>45462</v>
      </c>
      <c r="B187" s="1" t="str">
        <f>TEXT(A187,"mmm"&amp;"yyy")</f>
        <v>Jun2024</v>
      </c>
      <c r="C187" t="s">
        <v>21</v>
      </c>
      <c r="D187" t="s">
        <v>36</v>
      </c>
      <c r="E187" t="s">
        <v>37</v>
      </c>
      <c r="F187">
        <v>2024</v>
      </c>
      <c r="G187" t="s">
        <v>20</v>
      </c>
      <c r="H187">
        <v>712.5</v>
      </c>
      <c r="I187">
        <v>713.75</v>
      </c>
      <c r="J187">
        <v>683.9</v>
      </c>
      <c r="K187">
        <v>706.7</v>
      </c>
      <c r="L187">
        <v>698</v>
      </c>
      <c r="M187">
        <v>698.4</v>
      </c>
      <c r="N187">
        <v>694.53</v>
      </c>
      <c r="O187">
        <v>713.75</v>
      </c>
      <c r="P187">
        <v>251.55</v>
      </c>
      <c r="Q187">
        <v>2885290</v>
      </c>
      <c r="R187">
        <v>78395</v>
      </c>
    </row>
    <row r="188" spans="1:18" x14ac:dyDescent="0.25">
      <c r="A188" s="1">
        <v>45461</v>
      </c>
      <c r="B188" s="1" t="str">
        <f>TEXT(A188,"mmm"&amp;"yyy")</f>
        <v>Jun2024</v>
      </c>
      <c r="C188" t="s">
        <v>22</v>
      </c>
      <c r="D188" t="s">
        <v>36</v>
      </c>
      <c r="E188" t="s">
        <v>37</v>
      </c>
      <c r="F188">
        <v>2024</v>
      </c>
      <c r="G188" t="s">
        <v>20</v>
      </c>
      <c r="H188">
        <v>694</v>
      </c>
      <c r="I188">
        <v>713.45</v>
      </c>
      <c r="J188">
        <v>687.55</v>
      </c>
      <c r="K188">
        <v>683.6</v>
      </c>
      <c r="L188">
        <v>712</v>
      </c>
      <c r="M188">
        <v>706.7</v>
      </c>
      <c r="N188">
        <v>702.18</v>
      </c>
      <c r="O188">
        <v>713.45</v>
      </c>
      <c r="P188">
        <v>251.55</v>
      </c>
      <c r="Q188">
        <v>7214644</v>
      </c>
      <c r="R188">
        <v>104512</v>
      </c>
    </row>
    <row r="189" spans="1:18" x14ac:dyDescent="0.25">
      <c r="A189" s="1">
        <v>45457</v>
      </c>
      <c r="B189" s="1" t="str">
        <f>TEXT(A189,"mmm"&amp;"yyy")</f>
        <v>Jun2024</v>
      </c>
      <c r="C189" t="s">
        <v>24</v>
      </c>
      <c r="D189" t="s">
        <v>36</v>
      </c>
      <c r="E189" t="s">
        <v>37</v>
      </c>
      <c r="F189">
        <v>2024</v>
      </c>
      <c r="G189" t="s">
        <v>20</v>
      </c>
      <c r="H189">
        <v>662</v>
      </c>
      <c r="I189">
        <v>687.35</v>
      </c>
      <c r="J189">
        <v>657.05</v>
      </c>
      <c r="K189">
        <v>659.45</v>
      </c>
      <c r="L189">
        <v>680.5</v>
      </c>
      <c r="M189">
        <v>683.6</v>
      </c>
      <c r="N189">
        <v>677.53</v>
      </c>
      <c r="O189">
        <v>687.35</v>
      </c>
      <c r="P189">
        <v>251.55</v>
      </c>
      <c r="Q189">
        <v>4521695</v>
      </c>
      <c r="R189">
        <v>75111</v>
      </c>
    </row>
    <row r="190" spans="1:18" x14ac:dyDescent="0.25">
      <c r="A190" s="1">
        <v>45456</v>
      </c>
      <c r="B190" s="1" t="str">
        <f>TEXT(A190,"mmm"&amp;"yyy")</f>
        <v>Jun2024</v>
      </c>
      <c r="C190" t="s">
        <v>17</v>
      </c>
      <c r="D190" t="s">
        <v>36</v>
      </c>
      <c r="E190" t="s">
        <v>37</v>
      </c>
      <c r="F190">
        <v>2024</v>
      </c>
      <c r="G190" t="s">
        <v>20</v>
      </c>
      <c r="H190">
        <v>656.8</v>
      </c>
      <c r="I190">
        <v>668.85</v>
      </c>
      <c r="J190">
        <v>649.20000000000005</v>
      </c>
      <c r="K190">
        <v>650.25</v>
      </c>
      <c r="L190">
        <v>658.95</v>
      </c>
      <c r="M190">
        <v>659.45</v>
      </c>
      <c r="N190">
        <v>658.55</v>
      </c>
      <c r="O190">
        <v>668.85</v>
      </c>
      <c r="P190">
        <v>251.55</v>
      </c>
      <c r="Q190">
        <v>1872711</v>
      </c>
      <c r="R190">
        <v>43076</v>
      </c>
    </row>
    <row r="191" spans="1:18" x14ac:dyDescent="0.25">
      <c r="A191" s="1">
        <v>45455</v>
      </c>
      <c r="B191" s="1" t="str">
        <f>TEXT(A191,"mmm"&amp;"yyy")</f>
        <v>Jun2024</v>
      </c>
      <c r="C191" t="s">
        <v>21</v>
      </c>
      <c r="D191" t="s">
        <v>36</v>
      </c>
      <c r="E191" t="s">
        <v>37</v>
      </c>
      <c r="F191">
        <v>2024</v>
      </c>
      <c r="G191" t="s">
        <v>20</v>
      </c>
      <c r="H191">
        <v>640</v>
      </c>
      <c r="I191">
        <v>655</v>
      </c>
      <c r="J191">
        <v>635.15</v>
      </c>
      <c r="K191">
        <v>638</v>
      </c>
      <c r="L191">
        <v>652.04999999999995</v>
      </c>
      <c r="M191">
        <v>650.25</v>
      </c>
      <c r="N191">
        <v>645.79999999999995</v>
      </c>
      <c r="O191">
        <v>663.8</v>
      </c>
      <c r="P191">
        <v>251.55</v>
      </c>
      <c r="Q191">
        <v>2218295</v>
      </c>
      <c r="R191">
        <v>43940</v>
      </c>
    </row>
    <row r="192" spans="1:18" x14ac:dyDescent="0.25">
      <c r="A192" s="1">
        <v>45454</v>
      </c>
      <c r="B192" s="1" t="str">
        <f>TEXT(A192,"mmm"&amp;"yyy")</f>
        <v>Jun2024</v>
      </c>
      <c r="C192" t="s">
        <v>22</v>
      </c>
      <c r="D192" t="s">
        <v>36</v>
      </c>
      <c r="E192" t="s">
        <v>37</v>
      </c>
      <c r="F192">
        <v>2024</v>
      </c>
      <c r="G192" t="s">
        <v>20</v>
      </c>
      <c r="H192">
        <v>632.79999999999995</v>
      </c>
      <c r="I192">
        <v>640.9</v>
      </c>
      <c r="J192">
        <v>626.15</v>
      </c>
      <c r="K192">
        <v>629.65</v>
      </c>
      <c r="L192">
        <v>636.5</v>
      </c>
      <c r="M192">
        <v>638</v>
      </c>
      <c r="N192">
        <v>634.65</v>
      </c>
      <c r="O192">
        <v>663.8</v>
      </c>
      <c r="P192">
        <v>251.55</v>
      </c>
      <c r="Q192">
        <v>1909258</v>
      </c>
      <c r="R192">
        <v>49167</v>
      </c>
    </row>
    <row r="193" spans="1:18" x14ac:dyDescent="0.25">
      <c r="A193" s="1">
        <v>45453</v>
      </c>
      <c r="B193" s="1" t="str">
        <f>TEXT(A193,"mmm"&amp;"yyy")</f>
        <v>Jun2024</v>
      </c>
      <c r="C193" t="s">
        <v>23</v>
      </c>
      <c r="D193" t="s">
        <v>36</v>
      </c>
      <c r="E193" t="s">
        <v>37</v>
      </c>
      <c r="F193">
        <v>2024</v>
      </c>
      <c r="G193" t="s">
        <v>20</v>
      </c>
      <c r="H193">
        <v>629.4</v>
      </c>
      <c r="I193">
        <v>640.45000000000005</v>
      </c>
      <c r="J193">
        <v>622.15</v>
      </c>
      <c r="K193">
        <v>625.95000000000005</v>
      </c>
      <c r="L193">
        <v>630</v>
      </c>
      <c r="M193">
        <v>629.65</v>
      </c>
      <c r="N193">
        <v>632.14</v>
      </c>
      <c r="O193">
        <v>663.8</v>
      </c>
      <c r="P193">
        <v>251.55</v>
      </c>
      <c r="Q193">
        <v>1989705</v>
      </c>
      <c r="R193">
        <v>51626</v>
      </c>
    </row>
    <row r="194" spans="1:18" x14ac:dyDescent="0.25">
      <c r="A194" s="1">
        <v>45450</v>
      </c>
      <c r="B194" s="1" t="str">
        <f>TEXT(A194,"mmm"&amp;"yyy")</f>
        <v>Jun2024</v>
      </c>
      <c r="C194" t="s">
        <v>24</v>
      </c>
      <c r="D194" t="s">
        <v>36</v>
      </c>
      <c r="E194" t="s">
        <v>37</v>
      </c>
      <c r="F194">
        <v>2024</v>
      </c>
      <c r="G194" t="s">
        <v>20</v>
      </c>
      <c r="H194">
        <v>628.25</v>
      </c>
      <c r="I194">
        <v>628.45000000000005</v>
      </c>
      <c r="J194">
        <v>614.35</v>
      </c>
      <c r="K194">
        <v>625.1</v>
      </c>
      <c r="L194">
        <v>624</v>
      </c>
      <c r="M194">
        <v>625.95000000000005</v>
      </c>
      <c r="N194">
        <v>622.91999999999996</v>
      </c>
      <c r="O194">
        <v>663.8</v>
      </c>
      <c r="P194">
        <v>249</v>
      </c>
      <c r="Q194">
        <v>1813016</v>
      </c>
      <c r="R194">
        <v>43822</v>
      </c>
    </row>
    <row r="195" spans="1:18" x14ac:dyDescent="0.25">
      <c r="A195" s="1">
        <v>45449</v>
      </c>
      <c r="B195" s="1" t="str">
        <f>TEXT(A195,"mmm"&amp;"yyy")</f>
        <v>Jun2024</v>
      </c>
      <c r="C195" t="s">
        <v>17</v>
      </c>
      <c r="D195" t="s">
        <v>36</v>
      </c>
      <c r="E195" t="s">
        <v>37</v>
      </c>
      <c r="F195">
        <v>2024</v>
      </c>
      <c r="G195" t="s">
        <v>20</v>
      </c>
      <c r="H195">
        <v>614.6</v>
      </c>
      <c r="I195">
        <v>630</v>
      </c>
      <c r="J195">
        <v>606.54999999999995</v>
      </c>
      <c r="K195">
        <v>608.54999999999995</v>
      </c>
      <c r="L195">
        <v>623</v>
      </c>
      <c r="M195">
        <v>625.1</v>
      </c>
      <c r="N195">
        <v>620.76</v>
      </c>
      <c r="O195">
        <v>663.8</v>
      </c>
      <c r="P195">
        <v>249</v>
      </c>
      <c r="Q195">
        <v>3961169</v>
      </c>
      <c r="R195">
        <v>82571</v>
      </c>
    </row>
    <row r="196" spans="1:18" x14ac:dyDescent="0.25">
      <c r="A196" s="1">
        <v>45448</v>
      </c>
      <c r="B196" s="1" t="str">
        <f>TEXT(A196,"mmm"&amp;"yyy")</f>
        <v>Jun2024</v>
      </c>
      <c r="C196" t="s">
        <v>21</v>
      </c>
      <c r="D196" t="s">
        <v>36</v>
      </c>
      <c r="E196" t="s">
        <v>37</v>
      </c>
      <c r="F196">
        <v>2024</v>
      </c>
      <c r="G196" t="s">
        <v>20</v>
      </c>
      <c r="H196">
        <v>575.70000000000005</v>
      </c>
      <c r="I196">
        <v>615</v>
      </c>
      <c r="J196">
        <v>553.29999999999995</v>
      </c>
      <c r="K196">
        <v>553.29999999999995</v>
      </c>
      <c r="L196">
        <v>606</v>
      </c>
      <c r="M196">
        <v>608.54999999999995</v>
      </c>
      <c r="N196">
        <v>584.23</v>
      </c>
      <c r="O196">
        <v>663.8</v>
      </c>
      <c r="P196">
        <v>249</v>
      </c>
      <c r="Q196">
        <v>5764910</v>
      </c>
      <c r="R196">
        <v>145405</v>
      </c>
    </row>
    <row r="197" spans="1:18" x14ac:dyDescent="0.25">
      <c r="A197" s="1">
        <v>45447</v>
      </c>
      <c r="B197" s="1" t="str">
        <f>TEXT(A197,"mmm"&amp;"yyy")</f>
        <v>Jun2024</v>
      </c>
      <c r="C197" t="s">
        <v>22</v>
      </c>
      <c r="D197" t="s">
        <v>36</v>
      </c>
      <c r="E197" t="s">
        <v>37</v>
      </c>
      <c r="F197">
        <v>2024</v>
      </c>
      <c r="G197" t="s">
        <v>20</v>
      </c>
      <c r="H197">
        <v>661</v>
      </c>
      <c r="I197">
        <v>661</v>
      </c>
      <c r="J197">
        <v>528</v>
      </c>
      <c r="K197">
        <v>658.7</v>
      </c>
      <c r="L197">
        <v>564</v>
      </c>
      <c r="M197">
        <v>553.29999999999995</v>
      </c>
      <c r="N197">
        <v>572.04</v>
      </c>
      <c r="O197">
        <v>663.8</v>
      </c>
      <c r="P197">
        <v>249</v>
      </c>
      <c r="Q197">
        <v>11657328</v>
      </c>
      <c r="R197">
        <v>245106</v>
      </c>
    </row>
    <row r="198" spans="1:18" x14ac:dyDescent="0.25">
      <c r="A198" s="1">
        <v>45446</v>
      </c>
      <c r="B198" s="1" t="str">
        <f>TEXT(A198,"mmm"&amp;"yyy")</f>
        <v>Jun2024</v>
      </c>
      <c r="C198" t="s">
        <v>23</v>
      </c>
      <c r="D198" t="s">
        <v>36</v>
      </c>
      <c r="E198" t="s">
        <v>37</v>
      </c>
      <c r="F198">
        <v>2024</v>
      </c>
      <c r="G198" t="s">
        <v>20</v>
      </c>
      <c r="H198">
        <v>644</v>
      </c>
      <c r="I198">
        <v>663.8</v>
      </c>
      <c r="J198">
        <v>640</v>
      </c>
      <c r="K198">
        <v>613</v>
      </c>
      <c r="L198">
        <v>659.5</v>
      </c>
      <c r="M198">
        <v>658.7</v>
      </c>
      <c r="N198">
        <v>652.1</v>
      </c>
      <c r="O198">
        <v>663.8</v>
      </c>
      <c r="P198">
        <v>249</v>
      </c>
      <c r="Q198">
        <v>6599899</v>
      </c>
      <c r="R198">
        <v>147510</v>
      </c>
    </row>
    <row r="199" spans="1:18" x14ac:dyDescent="0.25">
      <c r="A199" s="1">
        <v>45443</v>
      </c>
      <c r="B199" s="1" t="str">
        <f>TEXT(A199,"mmm"&amp;"yyy")</f>
        <v>May2024</v>
      </c>
      <c r="C199" t="s">
        <v>24</v>
      </c>
      <c r="D199" t="s">
        <v>38</v>
      </c>
      <c r="E199" t="s">
        <v>37</v>
      </c>
      <c r="F199">
        <v>2024</v>
      </c>
      <c r="G199" t="s">
        <v>20</v>
      </c>
      <c r="H199">
        <v>616</v>
      </c>
      <c r="I199">
        <v>630</v>
      </c>
      <c r="J199">
        <v>599.4</v>
      </c>
      <c r="K199">
        <v>609</v>
      </c>
      <c r="L199">
        <v>617.9</v>
      </c>
      <c r="M199">
        <v>613</v>
      </c>
      <c r="N199">
        <v>613.84</v>
      </c>
      <c r="O199">
        <v>650</v>
      </c>
      <c r="P199">
        <v>249</v>
      </c>
      <c r="Q199">
        <v>47181863</v>
      </c>
      <c r="R199">
        <v>246276</v>
      </c>
    </row>
    <row r="200" spans="1:18" x14ac:dyDescent="0.25">
      <c r="A200" s="1">
        <v>45442</v>
      </c>
      <c r="B200" s="1" t="str">
        <f>TEXT(A200,"mmm"&amp;"yyy")</f>
        <v>May2024</v>
      </c>
      <c r="C200" t="s">
        <v>17</v>
      </c>
      <c r="D200" t="s">
        <v>38</v>
      </c>
      <c r="E200" t="s">
        <v>37</v>
      </c>
      <c r="F200">
        <v>2024</v>
      </c>
      <c r="G200" t="s">
        <v>20</v>
      </c>
      <c r="H200">
        <v>607.20000000000005</v>
      </c>
      <c r="I200">
        <v>623</v>
      </c>
      <c r="J200">
        <v>596.6</v>
      </c>
      <c r="K200">
        <v>604.20000000000005</v>
      </c>
      <c r="L200">
        <v>609</v>
      </c>
      <c r="M200">
        <v>609</v>
      </c>
      <c r="N200">
        <v>610.62</v>
      </c>
      <c r="O200">
        <v>650</v>
      </c>
      <c r="P200">
        <v>249</v>
      </c>
      <c r="Q200">
        <v>6029013</v>
      </c>
      <c r="R200">
        <v>87869</v>
      </c>
    </row>
    <row r="201" spans="1:18" x14ac:dyDescent="0.25">
      <c r="A201" s="1">
        <v>45441</v>
      </c>
      <c r="B201" s="1" t="str">
        <f>TEXT(A201,"mmm"&amp;"yyy")</f>
        <v>May2024</v>
      </c>
      <c r="C201" t="s">
        <v>21</v>
      </c>
      <c r="D201" t="s">
        <v>38</v>
      </c>
      <c r="E201" t="s">
        <v>37</v>
      </c>
      <c r="F201">
        <v>2024</v>
      </c>
      <c r="G201" t="s">
        <v>20</v>
      </c>
      <c r="H201">
        <v>615</v>
      </c>
      <c r="I201">
        <v>622</v>
      </c>
      <c r="J201">
        <v>602.6</v>
      </c>
      <c r="K201">
        <v>612.95000000000005</v>
      </c>
      <c r="L201">
        <v>603</v>
      </c>
      <c r="M201">
        <v>604.20000000000005</v>
      </c>
      <c r="N201">
        <v>609.88</v>
      </c>
      <c r="O201">
        <v>650</v>
      </c>
      <c r="P201">
        <v>249</v>
      </c>
      <c r="Q201">
        <v>3836768</v>
      </c>
      <c r="R201">
        <v>67489</v>
      </c>
    </row>
    <row r="202" spans="1:18" x14ac:dyDescent="0.25">
      <c r="A202" s="1">
        <v>45440</v>
      </c>
      <c r="B202" s="1" t="str">
        <f>TEXT(A202,"mmm"&amp;"yyy")</f>
        <v>May2024</v>
      </c>
      <c r="C202" t="s">
        <v>22</v>
      </c>
      <c r="D202" t="s">
        <v>38</v>
      </c>
      <c r="E202" t="s">
        <v>37</v>
      </c>
      <c r="F202">
        <v>2024</v>
      </c>
      <c r="G202" t="s">
        <v>20</v>
      </c>
      <c r="H202">
        <v>624.25</v>
      </c>
      <c r="I202">
        <v>631</v>
      </c>
      <c r="J202">
        <v>608.35</v>
      </c>
      <c r="K202">
        <v>621.1</v>
      </c>
      <c r="L202">
        <v>610</v>
      </c>
      <c r="M202">
        <v>612.95000000000005</v>
      </c>
      <c r="N202">
        <v>617.72</v>
      </c>
      <c r="O202">
        <v>650</v>
      </c>
      <c r="P202">
        <v>249</v>
      </c>
      <c r="Q202">
        <v>3934824</v>
      </c>
      <c r="R202">
        <v>91182</v>
      </c>
    </row>
    <row r="203" spans="1:18" x14ac:dyDescent="0.25">
      <c r="A203" s="1">
        <v>45439</v>
      </c>
      <c r="B203" s="1" t="str">
        <f>TEXT(A203,"mmm"&amp;"yyy")</f>
        <v>May2024</v>
      </c>
      <c r="C203" t="s">
        <v>23</v>
      </c>
      <c r="D203" t="s">
        <v>38</v>
      </c>
      <c r="E203" t="s">
        <v>37</v>
      </c>
      <c r="F203">
        <v>2024</v>
      </c>
      <c r="G203" t="s">
        <v>20</v>
      </c>
      <c r="H203">
        <v>603.79999999999995</v>
      </c>
      <c r="I203">
        <v>623.15</v>
      </c>
      <c r="J203">
        <v>596.04999999999995</v>
      </c>
      <c r="K203">
        <v>600.65</v>
      </c>
      <c r="L203">
        <v>620.5</v>
      </c>
      <c r="M203">
        <v>621.1</v>
      </c>
      <c r="N203">
        <v>611.92999999999995</v>
      </c>
      <c r="O203">
        <v>650</v>
      </c>
      <c r="P203">
        <v>249</v>
      </c>
      <c r="Q203">
        <v>4677642</v>
      </c>
      <c r="R203">
        <v>90179</v>
      </c>
    </row>
    <row r="204" spans="1:18" x14ac:dyDescent="0.25">
      <c r="A204" s="1">
        <v>45436</v>
      </c>
      <c r="B204" s="1" t="str">
        <f>TEXT(A204,"mmm"&amp;"yyy")</f>
        <v>May2024</v>
      </c>
      <c r="C204" t="s">
        <v>24</v>
      </c>
      <c r="D204" t="s">
        <v>38</v>
      </c>
      <c r="E204" t="s">
        <v>37</v>
      </c>
      <c r="F204">
        <v>2024</v>
      </c>
      <c r="G204" t="s">
        <v>20</v>
      </c>
      <c r="H204">
        <v>620</v>
      </c>
      <c r="I204">
        <v>627.45000000000005</v>
      </c>
      <c r="J204">
        <v>596.54999999999995</v>
      </c>
      <c r="K204">
        <v>617.45000000000005</v>
      </c>
      <c r="L204">
        <v>597.29999999999995</v>
      </c>
      <c r="M204">
        <v>600.65</v>
      </c>
      <c r="N204">
        <v>611.36</v>
      </c>
      <c r="O204">
        <v>650</v>
      </c>
      <c r="P204">
        <v>240</v>
      </c>
      <c r="Q204">
        <v>5408025</v>
      </c>
      <c r="R204">
        <v>83497</v>
      </c>
    </row>
    <row r="205" spans="1:18" x14ac:dyDescent="0.25">
      <c r="A205" s="1">
        <v>45435</v>
      </c>
      <c r="B205" s="1" t="str">
        <f>TEXT(A205,"mmm"&amp;"yyy")</f>
        <v>May2024</v>
      </c>
      <c r="C205" t="s">
        <v>17</v>
      </c>
      <c r="D205" t="s">
        <v>38</v>
      </c>
      <c r="E205" t="s">
        <v>37</v>
      </c>
      <c r="F205">
        <v>2024</v>
      </c>
      <c r="G205" t="s">
        <v>20</v>
      </c>
      <c r="H205">
        <v>611.9</v>
      </c>
      <c r="I205">
        <v>626</v>
      </c>
      <c r="J205">
        <v>610.9</v>
      </c>
      <c r="K205">
        <v>609.45000000000005</v>
      </c>
      <c r="L205">
        <v>617.29999999999995</v>
      </c>
      <c r="M205">
        <v>617.45000000000005</v>
      </c>
      <c r="N205">
        <v>620.53</v>
      </c>
      <c r="O205">
        <v>650</v>
      </c>
      <c r="P205">
        <v>240</v>
      </c>
      <c r="Q205">
        <v>4278722</v>
      </c>
      <c r="R205">
        <v>80708</v>
      </c>
    </row>
    <row r="206" spans="1:18" x14ac:dyDescent="0.25">
      <c r="A206" s="1">
        <v>45434</v>
      </c>
      <c r="B206" s="1" t="str">
        <f>TEXT(A206,"mmm"&amp;"yyy")</f>
        <v>May2024</v>
      </c>
      <c r="C206" t="s">
        <v>21</v>
      </c>
      <c r="D206" t="s">
        <v>38</v>
      </c>
      <c r="E206" t="s">
        <v>37</v>
      </c>
      <c r="F206">
        <v>2024</v>
      </c>
      <c r="G206" t="s">
        <v>20</v>
      </c>
      <c r="H206">
        <v>606.95000000000005</v>
      </c>
      <c r="I206">
        <v>619.9</v>
      </c>
      <c r="J206">
        <v>601.5</v>
      </c>
      <c r="K206">
        <v>603.9</v>
      </c>
      <c r="L206">
        <v>609.5</v>
      </c>
      <c r="M206">
        <v>609.45000000000005</v>
      </c>
      <c r="N206">
        <v>612.41</v>
      </c>
      <c r="O206">
        <v>650</v>
      </c>
      <c r="P206">
        <v>240</v>
      </c>
      <c r="Q206">
        <v>5160226</v>
      </c>
      <c r="R206">
        <v>117416</v>
      </c>
    </row>
    <row r="207" spans="1:18" x14ac:dyDescent="0.25">
      <c r="A207" s="1">
        <v>45433</v>
      </c>
      <c r="B207" s="1" t="str">
        <f>TEXT(A207,"mmm"&amp;"yyy")</f>
        <v>May2024</v>
      </c>
      <c r="C207" t="s">
        <v>22</v>
      </c>
      <c r="D207" t="s">
        <v>38</v>
      </c>
      <c r="E207" t="s">
        <v>37</v>
      </c>
      <c r="F207">
        <v>2024</v>
      </c>
      <c r="G207" t="s">
        <v>20</v>
      </c>
      <c r="H207">
        <v>599.9</v>
      </c>
      <c r="I207">
        <v>617.95000000000005</v>
      </c>
      <c r="J207">
        <v>591.75</v>
      </c>
      <c r="K207">
        <v>597.75</v>
      </c>
      <c r="L207">
        <v>602</v>
      </c>
      <c r="M207">
        <v>603.9</v>
      </c>
      <c r="N207">
        <v>608.66999999999996</v>
      </c>
      <c r="O207">
        <v>650</v>
      </c>
      <c r="P207">
        <v>240</v>
      </c>
      <c r="Q207">
        <v>4562832</v>
      </c>
      <c r="R207">
        <v>95183</v>
      </c>
    </row>
    <row r="208" spans="1:18" x14ac:dyDescent="0.25">
      <c r="A208" s="1">
        <v>45430</v>
      </c>
      <c r="B208" s="1" t="str">
        <f>TEXT(A208,"mmm"&amp;"yyy")</f>
        <v>May2024</v>
      </c>
      <c r="C208" t="s">
        <v>26</v>
      </c>
      <c r="D208" t="s">
        <v>38</v>
      </c>
      <c r="E208" t="s">
        <v>37</v>
      </c>
      <c r="F208">
        <v>2024</v>
      </c>
      <c r="G208" t="s">
        <v>20</v>
      </c>
      <c r="H208">
        <v>593.75</v>
      </c>
      <c r="I208">
        <v>599</v>
      </c>
      <c r="J208">
        <v>593.5</v>
      </c>
      <c r="K208">
        <v>593.9</v>
      </c>
      <c r="L208">
        <v>597.25</v>
      </c>
      <c r="M208">
        <v>597.75</v>
      </c>
      <c r="N208">
        <v>596.91999999999996</v>
      </c>
      <c r="O208">
        <v>650</v>
      </c>
      <c r="P208">
        <v>240</v>
      </c>
      <c r="Q208">
        <v>234551</v>
      </c>
      <c r="R208">
        <v>5405</v>
      </c>
    </row>
    <row r="209" spans="1:18" x14ac:dyDescent="0.25">
      <c r="A209" s="1">
        <v>45429</v>
      </c>
      <c r="B209" s="1" t="str">
        <f>TEXT(A209,"mmm"&amp;"yyy")</f>
        <v>May2024</v>
      </c>
      <c r="C209" t="s">
        <v>24</v>
      </c>
      <c r="D209" t="s">
        <v>38</v>
      </c>
      <c r="E209" t="s">
        <v>37</v>
      </c>
      <c r="F209">
        <v>2024</v>
      </c>
      <c r="G209" t="s">
        <v>20</v>
      </c>
      <c r="H209">
        <v>595.95000000000005</v>
      </c>
      <c r="I209">
        <v>609.54999999999995</v>
      </c>
      <c r="J209">
        <v>588.25</v>
      </c>
      <c r="K209">
        <v>594.15</v>
      </c>
      <c r="L209">
        <v>590</v>
      </c>
      <c r="M209">
        <v>593.9</v>
      </c>
      <c r="N209">
        <v>600.25</v>
      </c>
      <c r="O209">
        <v>650</v>
      </c>
      <c r="P209">
        <v>240</v>
      </c>
      <c r="Q209">
        <v>3776753</v>
      </c>
      <c r="R209">
        <v>109487</v>
      </c>
    </row>
    <row r="210" spans="1:18" x14ac:dyDescent="0.25">
      <c r="A210" s="1">
        <v>45428</v>
      </c>
      <c r="B210" s="1" t="str">
        <f>TEXT(A210,"mmm"&amp;"yyy")</f>
        <v>May2024</v>
      </c>
      <c r="C210" t="s">
        <v>17</v>
      </c>
      <c r="D210" t="s">
        <v>38</v>
      </c>
      <c r="E210" t="s">
        <v>37</v>
      </c>
      <c r="F210">
        <v>2024</v>
      </c>
      <c r="G210" t="s">
        <v>20</v>
      </c>
      <c r="H210">
        <v>604.1</v>
      </c>
      <c r="I210">
        <v>612</v>
      </c>
      <c r="J210">
        <v>590.35</v>
      </c>
      <c r="K210">
        <v>598.04999999999995</v>
      </c>
      <c r="L210">
        <v>593</v>
      </c>
      <c r="M210">
        <v>594.15</v>
      </c>
      <c r="N210">
        <v>598.75</v>
      </c>
      <c r="O210">
        <v>650</v>
      </c>
      <c r="P210">
        <v>240</v>
      </c>
      <c r="Q210">
        <v>4501917</v>
      </c>
      <c r="R210">
        <v>93634</v>
      </c>
    </row>
    <row r="211" spans="1:18" x14ac:dyDescent="0.25">
      <c r="A211" s="1">
        <v>45427</v>
      </c>
      <c r="B211" s="1" t="str">
        <f>TEXT(A211,"mmm"&amp;"yyy")</f>
        <v>May2024</v>
      </c>
      <c r="C211" t="s">
        <v>21</v>
      </c>
      <c r="D211" t="s">
        <v>38</v>
      </c>
      <c r="E211" t="s">
        <v>37</v>
      </c>
      <c r="F211">
        <v>2024</v>
      </c>
      <c r="G211" t="s">
        <v>20</v>
      </c>
      <c r="H211">
        <v>605</v>
      </c>
      <c r="I211">
        <v>635.6</v>
      </c>
      <c r="J211">
        <v>592.29999999999995</v>
      </c>
      <c r="K211">
        <v>599.70000000000005</v>
      </c>
      <c r="L211">
        <v>598.1</v>
      </c>
      <c r="M211">
        <v>598.04999999999995</v>
      </c>
      <c r="N211">
        <v>610.1</v>
      </c>
      <c r="O211">
        <v>650</v>
      </c>
      <c r="P211">
        <v>240</v>
      </c>
      <c r="Q211">
        <v>7636943</v>
      </c>
      <c r="R211">
        <v>159465</v>
      </c>
    </row>
    <row r="212" spans="1:18" x14ac:dyDescent="0.25">
      <c r="A212" s="1">
        <v>45426</v>
      </c>
      <c r="B212" s="1" t="str">
        <f>TEXT(A212,"mmm"&amp;"yyy")</f>
        <v>May2024</v>
      </c>
      <c r="C212" t="s">
        <v>22</v>
      </c>
      <c r="D212" t="s">
        <v>38</v>
      </c>
      <c r="E212" t="s">
        <v>37</v>
      </c>
      <c r="F212">
        <v>2024</v>
      </c>
      <c r="G212" t="s">
        <v>20</v>
      </c>
      <c r="H212">
        <v>577.85</v>
      </c>
      <c r="I212">
        <v>603.85</v>
      </c>
      <c r="J212">
        <v>573.04999999999995</v>
      </c>
      <c r="K212">
        <v>574.4</v>
      </c>
      <c r="L212">
        <v>601</v>
      </c>
      <c r="M212">
        <v>599.70000000000005</v>
      </c>
      <c r="N212">
        <v>592.36</v>
      </c>
      <c r="O212">
        <v>650</v>
      </c>
      <c r="P212">
        <v>240</v>
      </c>
      <c r="Q212">
        <v>6001660</v>
      </c>
      <c r="R212">
        <v>123286</v>
      </c>
    </row>
    <row r="213" spans="1:18" x14ac:dyDescent="0.25">
      <c r="A213" s="1">
        <v>45425</v>
      </c>
      <c r="B213" s="1" t="str">
        <f>TEXT(A213,"mmm"&amp;"yyy")</f>
        <v>May2024</v>
      </c>
      <c r="C213" t="s">
        <v>23</v>
      </c>
      <c r="D213" t="s">
        <v>38</v>
      </c>
      <c r="E213" t="s">
        <v>37</v>
      </c>
      <c r="F213">
        <v>2024</v>
      </c>
      <c r="G213" t="s">
        <v>20</v>
      </c>
      <c r="H213">
        <v>570.25</v>
      </c>
      <c r="I213">
        <v>576.5</v>
      </c>
      <c r="J213">
        <v>552</v>
      </c>
      <c r="K213">
        <v>570.25</v>
      </c>
      <c r="L213">
        <v>574</v>
      </c>
      <c r="M213">
        <v>574.4</v>
      </c>
      <c r="N213">
        <v>565.38</v>
      </c>
      <c r="O213">
        <v>650</v>
      </c>
      <c r="P213">
        <v>240</v>
      </c>
      <c r="Q213">
        <v>3934451</v>
      </c>
      <c r="R213">
        <v>90457</v>
      </c>
    </row>
    <row r="214" spans="1:18" x14ac:dyDescent="0.25">
      <c r="A214" s="1">
        <v>45422</v>
      </c>
      <c r="B214" s="1" t="str">
        <f>TEXT(A214,"mmm"&amp;"yyy")</f>
        <v>May2024</v>
      </c>
      <c r="C214" t="s">
        <v>24</v>
      </c>
      <c r="D214" t="s">
        <v>38</v>
      </c>
      <c r="E214" t="s">
        <v>37</v>
      </c>
      <c r="F214">
        <v>2024</v>
      </c>
      <c r="G214" t="s">
        <v>20</v>
      </c>
      <c r="H214">
        <v>538</v>
      </c>
      <c r="I214">
        <v>574</v>
      </c>
      <c r="J214">
        <v>520.20000000000005</v>
      </c>
      <c r="K214">
        <v>530.95000000000005</v>
      </c>
      <c r="L214">
        <v>568.25</v>
      </c>
      <c r="M214">
        <v>570.25</v>
      </c>
      <c r="N214">
        <v>553.26</v>
      </c>
      <c r="O214">
        <v>650</v>
      </c>
      <c r="P214">
        <v>240</v>
      </c>
      <c r="Q214">
        <v>10273764</v>
      </c>
      <c r="R214">
        <v>187794</v>
      </c>
    </row>
    <row r="215" spans="1:18" x14ac:dyDescent="0.25">
      <c r="A215" s="1">
        <v>45421</v>
      </c>
      <c r="B215" s="1" t="str">
        <f>TEXT(A215,"mmm"&amp;"yyy")</f>
        <v>May2024</v>
      </c>
      <c r="C215" t="s">
        <v>17</v>
      </c>
      <c r="D215" t="s">
        <v>38</v>
      </c>
      <c r="E215" t="s">
        <v>37</v>
      </c>
      <c r="F215">
        <v>2024</v>
      </c>
      <c r="G215" t="s">
        <v>20</v>
      </c>
      <c r="H215">
        <v>566</v>
      </c>
      <c r="I215">
        <v>582.6</v>
      </c>
      <c r="J215">
        <v>525</v>
      </c>
      <c r="K215">
        <v>557.25</v>
      </c>
      <c r="L215">
        <v>535.25</v>
      </c>
      <c r="M215">
        <v>530.95000000000005</v>
      </c>
      <c r="N215">
        <v>543.96</v>
      </c>
      <c r="O215">
        <v>650</v>
      </c>
      <c r="P215">
        <v>240</v>
      </c>
      <c r="Q215">
        <v>10773010</v>
      </c>
      <c r="R215">
        <v>235153</v>
      </c>
    </row>
    <row r="216" spans="1:18" x14ac:dyDescent="0.25">
      <c r="A216" s="1">
        <v>45420</v>
      </c>
      <c r="B216" s="1" t="str">
        <f>TEXT(A216,"mmm"&amp;"yyy")</f>
        <v>May2024</v>
      </c>
      <c r="C216" t="s">
        <v>21</v>
      </c>
      <c r="D216" t="s">
        <v>38</v>
      </c>
      <c r="E216" t="s">
        <v>37</v>
      </c>
      <c r="F216">
        <v>2024</v>
      </c>
      <c r="G216" t="s">
        <v>20</v>
      </c>
      <c r="H216">
        <v>592</v>
      </c>
      <c r="I216">
        <v>617.95000000000005</v>
      </c>
      <c r="J216">
        <v>553.15</v>
      </c>
      <c r="K216">
        <v>584.04999999999995</v>
      </c>
      <c r="L216">
        <v>559.9</v>
      </c>
      <c r="M216">
        <v>557.25</v>
      </c>
      <c r="N216">
        <v>578.33000000000004</v>
      </c>
      <c r="O216">
        <v>650</v>
      </c>
      <c r="P216">
        <v>240</v>
      </c>
      <c r="Q216">
        <v>11177701</v>
      </c>
      <c r="R216">
        <v>209151</v>
      </c>
    </row>
    <row r="217" spans="1:18" x14ac:dyDescent="0.25">
      <c r="A217" s="1">
        <v>45419</v>
      </c>
      <c r="B217" s="1" t="str">
        <f>TEXT(A217,"mmm"&amp;"yyy")</f>
        <v>May2024</v>
      </c>
      <c r="C217" t="s">
        <v>22</v>
      </c>
      <c r="D217" t="s">
        <v>38</v>
      </c>
      <c r="E217" t="s">
        <v>37</v>
      </c>
      <c r="F217">
        <v>2024</v>
      </c>
      <c r="G217" t="s">
        <v>20</v>
      </c>
      <c r="H217">
        <v>619.75</v>
      </c>
      <c r="I217">
        <v>620.65</v>
      </c>
      <c r="J217">
        <v>579</v>
      </c>
      <c r="K217">
        <v>617.54999999999995</v>
      </c>
      <c r="L217">
        <v>580</v>
      </c>
      <c r="M217">
        <v>584.04999999999995</v>
      </c>
      <c r="N217">
        <v>593.47</v>
      </c>
      <c r="O217">
        <v>650</v>
      </c>
      <c r="P217">
        <v>240</v>
      </c>
      <c r="Q217">
        <v>4215319</v>
      </c>
      <c r="R217">
        <v>101023</v>
      </c>
    </row>
    <row r="218" spans="1:18" x14ac:dyDescent="0.25">
      <c r="A218" s="1">
        <v>45418</v>
      </c>
      <c r="B218" s="1" t="str">
        <f>TEXT(A218,"mmm"&amp;"yyy")</f>
        <v>May2024</v>
      </c>
      <c r="C218" t="s">
        <v>23</v>
      </c>
      <c r="D218" t="s">
        <v>38</v>
      </c>
      <c r="E218" t="s">
        <v>37</v>
      </c>
      <c r="F218">
        <v>2024</v>
      </c>
      <c r="G218" t="s">
        <v>20</v>
      </c>
      <c r="H218">
        <v>642.25</v>
      </c>
      <c r="I218">
        <v>642.65</v>
      </c>
      <c r="J218">
        <v>611.65</v>
      </c>
      <c r="K218">
        <v>642.20000000000005</v>
      </c>
      <c r="L218">
        <v>620</v>
      </c>
      <c r="M218">
        <v>617.54999999999995</v>
      </c>
      <c r="N218">
        <v>620.61</v>
      </c>
      <c r="O218">
        <v>650</v>
      </c>
      <c r="P218">
        <v>240</v>
      </c>
      <c r="Q218">
        <v>2715347</v>
      </c>
      <c r="R218">
        <v>84999</v>
      </c>
    </row>
    <row r="219" spans="1:18" x14ac:dyDescent="0.25">
      <c r="A219" s="1">
        <v>45415</v>
      </c>
      <c r="B219" s="1" t="str">
        <f>TEXT(A219,"mmm"&amp;"yyy")</f>
        <v>May2024</v>
      </c>
      <c r="C219" t="s">
        <v>24</v>
      </c>
      <c r="D219" t="s">
        <v>38</v>
      </c>
      <c r="E219" t="s">
        <v>37</v>
      </c>
      <c r="F219">
        <v>2024</v>
      </c>
      <c r="G219" t="s">
        <v>20</v>
      </c>
      <c r="H219">
        <v>638.25</v>
      </c>
      <c r="I219">
        <v>645.9</v>
      </c>
      <c r="J219">
        <v>620.9</v>
      </c>
      <c r="K219">
        <v>638.25</v>
      </c>
      <c r="L219">
        <v>642.25</v>
      </c>
      <c r="M219">
        <v>642.20000000000005</v>
      </c>
      <c r="N219">
        <v>633.51</v>
      </c>
      <c r="O219">
        <v>650</v>
      </c>
      <c r="P219">
        <v>240</v>
      </c>
      <c r="Q219">
        <v>2585406</v>
      </c>
      <c r="R219">
        <v>70095</v>
      </c>
    </row>
    <row r="220" spans="1:18" x14ac:dyDescent="0.25">
      <c r="A220" s="1">
        <v>45414</v>
      </c>
      <c r="B220" s="1" t="str">
        <f>TEXT(A220,"mmm"&amp;"yyy")</f>
        <v>May2024</v>
      </c>
      <c r="C220" t="s">
        <v>17</v>
      </c>
      <c r="D220" t="s">
        <v>38</v>
      </c>
      <c r="E220" t="s">
        <v>37</v>
      </c>
      <c r="F220">
        <v>2024</v>
      </c>
      <c r="G220" t="s">
        <v>20</v>
      </c>
      <c r="H220">
        <v>632.1</v>
      </c>
      <c r="I220">
        <v>646.35</v>
      </c>
      <c r="J220">
        <v>631</v>
      </c>
      <c r="K220">
        <v>629.54999999999995</v>
      </c>
      <c r="L220">
        <v>635.54999999999995</v>
      </c>
      <c r="M220">
        <v>638.25</v>
      </c>
      <c r="N220">
        <v>640.53</v>
      </c>
      <c r="O220">
        <v>650</v>
      </c>
      <c r="P220">
        <v>240</v>
      </c>
      <c r="Q220">
        <v>2927025</v>
      </c>
      <c r="R220">
        <v>77228</v>
      </c>
    </row>
    <row r="221" spans="1:18" x14ac:dyDescent="0.25">
      <c r="A221" s="1">
        <v>45412</v>
      </c>
      <c r="B221" s="1" t="str">
        <f>TEXT(A221,"mmm"&amp;"yyy")</f>
        <v>Apr2024</v>
      </c>
      <c r="C221" t="s">
        <v>22</v>
      </c>
      <c r="D221" t="s">
        <v>39</v>
      </c>
      <c r="E221" t="s">
        <v>37</v>
      </c>
      <c r="F221">
        <v>2024</v>
      </c>
      <c r="G221" t="s">
        <v>20</v>
      </c>
      <c r="H221">
        <v>605.70000000000005</v>
      </c>
      <c r="I221">
        <v>632</v>
      </c>
      <c r="J221">
        <v>604.04999999999995</v>
      </c>
      <c r="K221">
        <v>603.29999999999995</v>
      </c>
      <c r="L221">
        <v>630</v>
      </c>
      <c r="M221">
        <v>629.54999999999995</v>
      </c>
      <c r="N221">
        <v>624.79</v>
      </c>
      <c r="O221">
        <v>650</v>
      </c>
      <c r="P221">
        <v>240</v>
      </c>
      <c r="Q221">
        <v>5137464</v>
      </c>
      <c r="R221">
        <v>87338</v>
      </c>
    </row>
    <row r="222" spans="1:18" x14ac:dyDescent="0.25">
      <c r="A222" s="1">
        <v>45411</v>
      </c>
      <c r="B222" s="1" t="str">
        <f>TEXT(A222,"mmm"&amp;"yyy")</f>
        <v>Apr2024</v>
      </c>
      <c r="C222" t="s">
        <v>23</v>
      </c>
      <c r="D222" t="s">
        <v>39</v>
      </c>
      <c r="E222" t="s">
        <v>37</v>
      </c>
      <c r="F222">
        <v>2024</v>
      </c>
      <c r="G222" t="s">
        <v>20</v>
      </c>
      <c r="H222">
        <v>603.95000000000005</v>
      </c>
      <c r="I222">
        <v>606</v>
      </c>
      <c r="J222">
        <v>597</v>
      </c>
      <c r="K222">
        <v>600.9</v>
      </c>
      <c r="L222">
        <v>603.9</v>
      </c>
      <c r="M222">
        <v>603.29999999999995</v>
      </c>
      <c r="N222">
        <v>602.17999999999995</v>
      </c>
      <c r="O222">
        <v>650</v>
      </c>
      <c r="P222">
        <v>240</v>
      </c>
      <c r="Q222">
        <v>917096</v>
      </c>
      <c r="R222">
        <v>26466</v>
      </c>
    </row>
    <row r="223" spans="1:18" x14ac:dyDescent="0.25">
      <c r="A223" s="1">
        <v>45408</v>
      </c>
      <c r="B223" s="1" t="str">
        <f>TEXT(A223,"mmm"&amp;"yyy")</f>
        <v>Apr2024</v>
      </c>
      <c r="C223" t="s">
        <v>24</v>
      </c>
      <c r="D223" t="s">
        <v>39</v>
      </c>
      <c r="E223" t="s">
        <v>37</v>
      </c>
      <c r="F223">
        <v>2024</v>
      </c>
      <c r="G223" t="s">
        <v>20</v>
      </c>
      <c r="H223">
        <v>605.95000000000005</v>
      </c>
      <c r="I223">
        <v>609.25</v>
      </c>
      <c r="J223">
        <v>599.15</v>
      </c>
      <c r="K223">
        <v>604.70000000000005</v>
      </c>
      <c r="L223">
        <v>600.4</v>
      </c>
      <c r="M223">
        <v>600.9</v>
      </c>
      <c r="N223">
        <v>602.04</v>
      </c>
      <c r="O223">
        <v>650</v>
      </c>
      <c r="P223">
        <v>240</v>
      </c>
      <c r="Q223">
        <v>1929533</v>
      </c>
      <c r="R223">
        <v>47291</v>
      </c>
    </row>
    <row r="224" spans="1:18" x14ac:dyDescent="0.25">
      <c r="A224" s="1">
        <v>45407</v>
      </c>
      <c r="B224" s="1" t="str">
        <f>TEXT(A224,"mmm"&amp;"yyy")</f>
        <v>Apr2024</v>
      </c>
      <c r="C224" t="s">
        <v>17</v>
      </c>
      <c r="D224" t="s">
        <v>39</v>
      </c>
      <c r="E224" t="s">
        <v>37</v>
      </c>
      <c r="F224">
        <v>2024</v>
      </c>
      <c r="G224" t="s">
        <v>20</v>
      </c>
      <c r="H224">
        <v>603</v>
      </c>
      <c r="I224">
        <v>613.65</v>
      </c>
      <c r="J224">
        <v>602.1</v>
      </c>
      <c r="K224">
        <v>600.4</v>
      </c>
      <c r="L224">
        <v>605</v>
      </c>
      <c r="M224">
        <v>604.70000000000005</v>
      </c>
      <c r="N224">
        <v>607</v>
      </c>
      <c r="O224">
        <v>650</v>
      </c>
      <c r="P224">
        <v>240</v>
      </c>
      <c r="Q224">
        <v>1539624</v>
      </c>
      <c r="R224">
        <v>35955</v>
      </c>
    </row>
    <row r="225" spans="1:18" x14ac:dyDescent="0.25">
      <c r="A225" s="1">
        <v>45406</v>
      </c>
      <c r="B225" s="1" t="str">
        <f>TEXT(A225,"mmm"&amp;"yyy")</f>
        <v>Apr2024</v>
      </c>
      <c r="C225" t="s">
        <v>21</v>
      </c>
      <c r="D225" t="s">
        <v>39</v>
      </c>
      <c r="E225" t="s">
        <v>37</v>
      </c>
      <c r="F225">
        <v>2024</v>
      </c>
      <c r="G225" t="s">
        <v>20</v>
      </c>
      <c r="H225">
        <v>619.95000000000005</v>
      </c>
      <c r="I225">
        <v>625.9</v>
      </c>
      <c r="J225">
        <v>595</v>
      </c>
      <c r="K225">
        <v>616.35</v>
      </c>
      <c r="L225">
        <v>606</v>
      </c>
      <c r="M225">
        <v>600.4</v>
      </c>
      <c r="N225">
        <v>607.69000000000005</v>
      </c>
      <c r="O225">
        <v>650</v>
      </c>
      <c r="P225">
        <v>240</v>
      </c>
      <c r="Q225">
        <v>3340579</v>
      </c>
      <c r="R225">
        <v>74021</v>
      </c>
    </row>
    <row r="226" spans="1:18" x14ac:dyDescent="0.25">
      <c r="A226" s="1">
        <v>45405</v>
      </c>
      <c r="B226" s="1" t="str">
        <f>TEXT(A226,"mmm"&amp;"yyy")</f>
        <v>Apr2024</v>
      </c>
      <c r="C226" t="s">
        <v>22</v>
      </c>
      <c r="D226" t="s">
        <v>39</v>
      </c>
      <c r="E226" t="s">
        <v>37</v>
      </c>
      <c r="F226">
        <v>2024</v>
      </c>
      <c r="G226" t="s">
        <v>20</v>
      </c>
      <c r="H226">
        <v>616.25</v>
      </c>
      <c r="I226">
        <v>624.25</v>
      </c>
      <c r="J226">
        <v>609</v>
      </c>
      <c r="K226">
        <v>611.45000000000005</v>
      </c>
      <c r="L226">
        <v>618.5</v>
      </c>
      <c r="M226">
        <v>616.35</v>
      </c>
      <c r="N226">
        <v>616.29</v>
      </c>
      <c r="O226">
        <v>650</v>
      </c>
      <c r="P226">
        <v>240</v>
      </c>
      <c r="Q226">
        <v>3430025</v>
      </c>
      <c r="R226">
        <v>58651</v>
      </c>
    </row>
    <row r="227" spans="1:18" x14ac:dyDescent="0.25">
      <c r="A227" s="1">
        <v>45404</v>
      </c>
      <c r="B227" s="1" t="str">
        <f>TEXT(A227,"mmm"&amp;"yyy")</f>
        <v>Apr2024</v>
      </c>
      <c r="C227" t="s">
        <v>23</v>
      </c>
      <c r="D227" t="s">
        <v>39</v>
      </c>
      <c r="E227" t="s">
        <v>37</v>
      </c>
      <c r="F227">
        <v>2024</v>
      </c>
      <c r="G227" t="s">
        <v>20</v>
      </c>
      <c r="H227">
        <v>650</v>
      </c>
      <c r="I227">
        <v>650</v>
      </c>
      <c r="J227">
        <v>607.04999999999995</v>
      </c>
      <c r="K227">
        <v>626.70000000000005</v>
      </c>
      <c r="L227">
        <v>610.6</v>
      </c>
      <c r="M227">
        <v>611.45000000000005</v>
      </c>
      <c r="N227">
        <v>624.02</v>
      </c>
      <c r="O227">
        <v>650</v>
      </c>
      <c r="P227">
        <v>240</v>
      </c>
      <c r="Q227">
        <v>4322386</v>
      </c>
      <c r="R227">
        <v>92943</v>
      </c>
    </row>
    <row r="228" spans="1:18" x14ac:dyDescent="0.25">
      <c r="A228" s="1">
        <v>45401</v>
      </c>
      <c r="B228" s="1" t="str">
        <f>TEXT(A228,"mmm"&amp;"yyy")</f>
        <v>Apr2024</v>
      </c>
      <c r="C228" t="s">
        <v>24</v>
      </c>
      <c r="D228" t="s">
        <v>39</v>
      </c>
      <c r="E228" t="s">
        <v>37</v>
      </c>
      <c r="F228">
        <v>2024</v>
      </c>
      <c r="G228" t="s">
        <v>20</v>
      </c>
      <c r="H228">
        <v>622</v>
      </c>
      <c r="I228">
        <v>638.70000000000005</v>
      </c>
      <c r="J228">
        <v>611.65</v>
      </c>
      <c r="K228">
        <v>628.5</v>
      </c>
      <c r="L228">
        <v>630.45000000000005</v>
      </c>
      <c r="M228">
        <v>626.70000000000005</v>
      </c>
      <c r="N228">
        <v>628.29</v>
      </c>
      <c r="O228">
        <v>638.70000000000005</v>
      </c>
      <c r="P228">
        <v>240</v>
      </c>
      <c r="Q228">
        <v>3564737</v>
      </c>
      <c r="R228">
        <v>88497</v>
      </c>
    </row>
    <row r="229" spans="1:18" x14ac:dyDescent="0.25">
      <c r="A229" s="1">
        <v>45400</v>
      </c>
      <c r="B229" s="1" t="str">
        <f>TEXT(A229,"mmm"&amp;"yyy")</f>
        <v>Apr2024</v>
      </c>
      <c r="C229" t="s">
        <v>17</v>
      </c>
      <c r="D229" t="s">
        <v>39</v>
      </c>
      <c r="E229" t="s">
        <v>37</v>
      </c>
      <c r="F229">
        <v>2024</v>
      </c>
      <c r="G229" t="s">
        <v>20</v>
      </c>
      <c r="H229">
        <v>602.04999999999995</v>
      </c>
      <c r="I229">
        <v>633</v>
      </c>
      <c r="J229">
        <v>602.04999999999995</v>
      </c>
      <c r="K229">
        <v>602.04999999999995</v>
      </c>
      <c r="L229">
        <v>627.29999999999995</v>
      </c>
      <c r="M229">
        <v>628.5</v>
      </c>
      <c r="N229">
        <v>622.47</v>
      </c>
      <c r="O229">
        <v>633</v>
      </c>
      <c r="P229">
        <v>240</v>
      </c>
      <c r="Q229">
        <v>5774203</v>
      </c>
      <c r="R229">
        <v>93699</v>
      </c>
    </row>
    <row r="230" spans="1:18" x14ac:dyDescent="0.25">
      <c r="A230" s="1">
        <v>45398</v>
      </c>
      <c r="B230" s="1" t="str">
        <f>TEXT(A230,"mmm"&amp;"yyy")</f>
        <v>Apr2024</v>
      </c>
      <c r="C230" t="s">
        <v>22</v>
      </c>
      <c r="D230" t="s">
        <v>39</v>
      </c>
      <c r="E230" t="s">
        <v>37</v>
      </c>
      <c r="F230">
        <v>2024</v>
      </c>
      <c r="G230" t="s">
        <v>20</v>
      </c>
      <c r="H230">
        <v>606</v>
      </c>
      <c r="I230">
        <v>612</v>
      </c>
      <c r="J230">
        <v>596.5</v>
      </c>
      <c r="K230">
        <v>609.5</v>
      </c>
      <c r="L230">
        <v>598.6</v>
      </c>
      <c r="M230">
        <v>602.04999999999995</v>
      </c>
      <c r="N230">
        <v>601.80999999999995</v>
      </c>
      <c r="O230">
        <v>632.1</v>
      </c>
      <c r="P230">
        <v>240</v>
      </c>
      <c r="Q230">
        <v>4629977</v>
      </c>
      <c r="R230">
        <v>81912</v>
      </c>
    </row>
    <row r="231" spans="1:18" x14ac:dyDescent="0.25">
      <c r="A231" s="1">
        <v>45397</v>
      </c>
      <c r="B231" s="1" t="str">
        <f>TEXT(A231,"mmm"&amp;"yyy")</f>
        <v>Apr2024</v>
      </c>
      <c r="C231" t="s">
        <v>23</v>
      </c>
      <c r="D231" t="s">
        <v>39</v>
      </c>
      <c r="E231" t="s">
        <v>37</v>
      </c>
      <c r="F231">
        <v>2024</v>
      </c>
      <c r="G231" t="s">
        <v>20</v>
      </c>
      <c r="H231">
        <v>591.20000000000005</v>
      </c>
      <c r="I231">
        <v>616</v>
      </c>
      <c r="J231">
        <v>588.35</v>
      </c>
      <c r="K231">
        <v>616.45000000000005</v>
      </c>
      <c r="L231">
        <v>609</v>
      </c>
      <c r="M231">
        <v>609.5</v>
      </c>
      <c r="N231">
        <v>607.59</v>
      </c>
      <c r="O231">
        <v>632.1</v>
      </c>
      <c r="P231">
        <v>240</v>
      </c>
      <c r="Q231">
        <v>2834063</v>
      </c>
      <c r="R231">
        <v>74810</v>
      </c>
    </row>
    <row r="232" spans="1:18" x14ac:dyDescent="0.25">
      <c r="A232" s="1">
        <v>45394</v>
      </c>
      <c r="B232" s="1" t="str">
        <f>TEXT(A232,"mmm"&amp;"yyy")</f>
        <v>Apr2024</v>
      </c>
      <c r="C232" t="s">
        <v>24</v>
      </c>
      <c r="D232" t="s">
        <v>39</v>
      </c>
      <c r="E232" t="s">
        <v>37</v>
      </c>
      <c r="F232">
        <v>2024</v>
      </c>
      <c r="G232" t="s">
        <v>20</v>
      </c>
      <c r="H232">
        <v>617</v>
      </c>
      <c r="I232">
        <v>627.4</v>
      </c>
      <c r="J232">
        <v>609.6</v>
      </c>
      <c r="K232">
        <v>616.04999999999995</v>
      </c>
      <c r="L232">
        <v>614.79999999999995</v>
      </c>
      <c r="M232">
        <v>616.45000000000005</v>
      </c>
      <c r="N232">
        <v>618.1</v>
      </c>
      <c r="O232">
        <v>632.1</v>
      </c>
      <c r="P232">
        <v>240</v>
      </c>
      <c r="Q232">
        <v>3756080</v>
      </c>
      <c r="R232">
        <v>80461</v>
      </c>
    </row>
    <row r="233" spans="1:18" x14ac:dyDescent="0.25">
      <c r="A233" s="1">
        <v>45392</v>
      </c>
      <c r="B233" s="1" t="str">
        <f>TEXT(A233,"mmm"&amp;"yyy")</f>
        <v>Apr2024</v>
      </c>
      <c r="C233" t="s">
        <v>21</v>
      </c>
      <c r="D233" t="s">
        <v>39</v>
      </c>
      <c r="E233" t="s">
        <v>37</v>
      </c>
      <c r="F233">
        <v>2024</v>
      </c>
      <c r="G233" t="s">
        <v>20</v>
      </c>
      <c r="H233">
        <v>615.5</v>
      </c>
      <c r="I233">
        <v>630</v>
      </c>
      <c r="J233">
        <v>612.04999999999995</v>
      </c>
      <c r="K233">
        <v>613.1</v>
      </c>
      <c r="L233">
        <v>615.95000000000005</v>
      </c>
      <c r="M233">
        <v>616.04999999999995</v>
      </c>
      <c r="N233">
        <v>622.52</v>
      </c>
      <c r="O233">
        <v>632.1</v>
      </c>
      <c r="P233">
        <v>240</v>
      </c>
      <c r="Q233">
        <v>3433168</v>
      </c>
      <c r="R233">
        <v>78462</v>
      </c>
    </row>
    <row r="234" spans="1:18" x14ac:dyDescent="0.25">
      <c r="A234" s="1">
        <v>45391</v>
      </c>
      <c r="B234" s="1" t="str">
        <f>TEXT(A234,"mmm"&amp;"yyy")</f>
        <v>Apr2024</v>
      </c>
      <c r="C234" t="s">
        <v>22</v>
      </c>
      <c r="D234" t="s">
        <v>39</v>
      </c>
      <c r="E234" t="s">
        <v>37</v>
      </c>
      <c r="F234">
        <v>2024</v>
      </c>
      <c r="G234" t="s">
        <v>20</v>
      </c>
      <c r="H234">
        <v>630</v>
      </c>
      <c r="I234">
        <v>630.65</v>
      </c>
      <c r="J234">
        <v>596.35</v>
      </c>
      <c r="K234">
        <v>627.5</v>
      </c>
      <c r="L234">
        <v>615.70000000000005</v>
      </c>
      <c r="M234">
        <v>613.1</v>
      </c>
      <c r="N234">
        <v>606.66</v>
      </c>
      <c r="O234">
        <v>632.1</v>
      </c>
      <c r="P234">
        <v>240</v>
      </c>
      <c r="Q234">
        <v>8876328</v>
      </c>
      <c r="R234">
        <v>164470</v>
      </c>
    </row>
    <row r="235" spans="1:18" x14ac:dyDescent="0.25">
      <c r="A235" s="1">
        <v>45390</v>
      </c>
      <c r="B235" s="1" t="str">
        <f>TEXT(A235,"mmm"&amp;"yyy")</f>
        <v>Apr2024</v>
      </c>
      <c r="C235" t="s">
        <v>23</v>
      </c>
      <c r="D235" t="s">
        <v>39</v>
      </c>
      <c r="E235" t="s">
        <v>37</v>
      </c>
      <c r="F235">
        <v>2024</v>
      </c>
      <c r="G235" t="s">
        <v>20</v>
      </c>
      <c r="H235">
        <v>602</v>
      </c>
      <c r="I235">
        <v>632.1</v>
      </c>
      <c r="J235">
        <v>601.95000000000005</v>
      </c>
      <c r="K235">
        <v>599.1</v>
      </c>
      <c r="L235">
        <v>632</v>
      </c>
      <c r="M235">
        <v>627.5</v>
      </c>
      <c r="N235">
        <v>616.47</v>
      </c>
      <c r="O235">
        <v>632.1</v>
      </c>
      <c r="P235">
        <v>240</v>
      </c>
      <c r="Q235">
        <v>6476004</v>
      </c>
      <c r="R235">
        <v>107869</v>
      </c>
    </row>
    <row r="236" spans="1:18" x14ac:dyDescent="0.25">
      <c r="A236" s="1">
        <v>45387</v>
      </c>
      <c r="B236" s="1" t="str">
        <f>TEXT(A236,"mmm"&amp;"yyy")</f>
        <v>Apr2024</v>
      </c>
      <c r="C236" t="s">
        <v>24</v>
      </c>
      <c r="D236" t="s">
        <v>39</v>
      </c>
      <c r="E236" t="s">
        <v>37</v>
      </c>
      <c r="F236">
        <v>2024</v>
      </c>
      <c r="G236" t="s">
        <v>20</v>
      </c>
      <c r="H236">
        <v>583.79999999999995</v>
      </c>
      <c r="I236">
        <v>600</v>
      </c>
      <c r="J236">
        <v>582.5</v>
      </c>
      <c r="K236">
        <v>583.04999999999995</v>
      </c>
      <c r="L236">
        <v>597.85</v>
      </c>
      <c r="M236">
        <v>599.1</v>
      </c>
      <c r="N236">
        <v>592.85</v>
      </c>
      <c r="O236">
        <v>604</v>
      </c>
      <c r="P236">
        <v>240</v>
      </c>
      <c r="Q236">
        <v>3623564</v>
      </c>
      <c r="R236">
        <v>59734</v>
      </c>
    </row>
    <row r="237" spans="1:18" x14ac:dyDescent="0.25">
      <c r="A237" s="1">
        <v>45386</v>
      </c>
      <c r="B237" s="1" t="str">
        <f>TEXT(A237,"mmm"&amp;"yyy")</f>
        <v>Apr2024</v>
      </c>
      <c r="C237" t="s">
        <v>17</v>
      </c>
      <c r="D237" t="s">
        <v>39</v>
      </c>
      <c r="E237" t="s">
        <v>37</v>
      </c>
      <c r="F237">
        <v>2024</v>
      </c>
      <c r="G237" t="s">
        <v>20</v>
      </c>
      <c r="H237">
        <v>582</v>
      </c>
      <c r="I237">
        <v>604</v>
      </c>
      <c r="J237">
        <v>577.1</v>
      </c>
      <c r="K237">
        <v>581.35</v>
      </c>
      <c r="L237">
        <v>582.29999999999995</v>
      </c>
      <c r="M237">
        <v>583.04999999999995</v>
      </c>
      <c r="N237">
        <v>589.79999999999995</v>
      </c>
      <c r="O237">
        <v>604</v>
      </c>
      <c r="P237">
        <v>240</v>
      </c>
      <c r="Q237">
        <v>8023364</v>
      </c>
      <c r="R237">
        <v>132372</v>
      </c>
    </row>
    <row r="238" spans="1:18" x14ac:dyDescent="0.25">
      <c r="A238" s="1">
        <v>45385</v>
      </c>
      <c r="B238" s="1" t="str">
        <f>TEXT(A238,"mmm"&amp;"yyy")</f>
        <v>Apr2024</v>
      </c>
      <c r="C238" t="s">
        <v>21</v>
      </c>
      <c r="D238" t="s">
        <v>39</v>
      </c>
      <c r="E238" t="s">
        <v>37</v>
      </c>
      <c r="F238">
        <v>2024</v>
      </c>
      <c r="G238" t="s">
        <v>20</v>
      </c>
      <c r="H238">
        <v>547</v>
      </c>
      <c r="I238">
        <v>583.9</v>
      </c>
      <c r="J238">
        <v>542.65</v>
      </c>
      <c r="K238">
        <v>542.20000000000005</v>
      </c>
      <c r="L238">
        <v>580.95000000000005</v>
      </c>
      <c r="M238">
        <v>581.35</v>
      </c>
      <c r="N238">
        <v>563.79</v>
      </c>
      <c r="O238">
        <v>583.9</v>
      </c>
      <c r="P238">
        <v>240</v>
      </c>
      <c r="Q238">
        <v>17570174</v>
      </c>
      <c r="R238">
        <v>177831</v>
      </c>
    </row>
    <row r="239" spans="1:18" x14ac:dyDescent="0.25">
      <c r="A239" s="1">
        <v>45384</v>
      </c>
      <c r="B239" s="1" t="str">
        <f>TEXT(A239,"mmm"&amp;"yyy")</f>
        <v>Apr2024</v>
      </c>
      <c r="C239" t="s">
        <v>22</v>
      </c>
      <c r="D239" t="s">
        <v>39</v>
      </c>
      <c r="E239" t="s">
        <v>37</v>
      </c>
      <c r="F239">
        <v>2024</v>
      </c>
      <c r="G239" t="s">
        <v>20</v>
      </c>
      <c r="H239">
        <v>519.54999999999995</v>
      </c>
      <c r="I239">
        <v>543</v>
      </c>
      <c r="J239">
        <v>519.54999999999995</v>
      </c>
      <c r="K239">
        <v>518.45000000000005</v>
      </c>
      <c r="L239">
        <v>542</v>
      </c>
      <c r="M239">
        <v>542.20000000000005</v>
      </c>
      <c r="N239">
        <v>535.88</v>
      </c>
      <c r="O239">
        <v>543</v>
      </c>
      <c r="P239">
        <v>240</v>
      </c>
      <c r="Q239">
        <v>4041053</v>
      </c>
      <c r="R239">
        <v>57950</v>
      </c>
    </row>
    <row r="240" spans="1:18" x14ac:dyDescent="0.25">
      <c r="A240" s="1">
        <v>45383</v>
      </c>
      <c r="B240" s="1" t="str">
        <f>TEXT(A240,"mmm"&amp;"yyy")</f>
        <v>Apr2024</v>
      </c>
      <c r="C240" t="s">
        <v>23</v>
      </c>
      <c r="D240" t="s">
        <v>39</v>
      </c>
      <c r="E240" t="s">
        <v>37</v>
      </c>
      <c r="F240">
        <v>2024</v>
      </c>
      <c r="G240" t="s">
        <v>20</v>
      </c>
      <c r="H240">
        <v>533</v>
      </c>
      <c r="I240">
        <v>537.85</v>
      </c>
      <c r="J240">
        <v>515.20000000000005</v>
      </c>
      <c r="K240">
        <v>528.9</v>
      </c>
      <c r="L240">
        <v>521</v>
      </c>
      <c r="M240">
        <v>518.45000000000005</v>
      </c>
      <c r="N240">
        <v>527.5</v>
      </c>
      <c r="O240">
        <v>537.95000000000005</v>
      </c>
      <c r="P240">
        <v>240</v>
      </c>
      <c r="Q240">
        <v>2547243</v>
      </c>
      <c r="R240">
        <v>38698</v>
      </c>
    </row>
    <row r="241" spans="1:18" x14ac:dyDescent="0.25">
      <c r="A241" s="1">
        <v>45379</v>
      </c>
      <c r="B241" s="1" t="str">
        <f>TEXT(A241,"mmm"&amp;"yyy")</f>
        <v>Mar2024</v>
      </c>
      <c r="C241" t="s">
        <v>17</v>
      </c>
      <c r="D241" t="s">
        <v>18</v>
      </c>
      <c r="E241" t="s">
        <v>19</v>
      </c>
      <c r="F241">
        <v>2024</v>
      </c>
      <c r="G241" t="s">
        <v>20</v>
      </c>
      <c r="H241">
        <v>524.95000000000005</v>
      </c>
      <c r="I241">
        <v>533.5</v>
      </c>
      <c r="J241">
        <v>521.6</v>
      </c>
      <c r="K241">
        <v>516.65</v>
      </c>
      <c r="L241">
        <v>527.04999999999995</v>
      </c>
      <c r="M241">
        <v>528.9</v>
      </c>
      <c r="N241">
        <v>528.85</v>
      </c>
      <c r="O241">
        <v>537.95000000000005</v>
      </c>
      <c r="P241">
        <v>221</v>
      </c>
      <c r="Q241">
        <v>4207650</v>
      </c>
      <c r="R241">
        <v>50061</v>
      </c>
    </row>
    <row r="242" spans="1:18" x14ac:dyDescent="0.25">
      <c r="A242" s="1">
        <v>45378</v>
      </c>
      <c r="B242" s="1" t="str">
        <f>TEXT(A242,"mmm"&amp;"yyy")</f>
        <v>Mar2024</v>
      </c>
      <c r="C242" t="s">
        <v>21</v>
      </c>
      <c r="D242" t="s">
        <v>18</v>
      </c>
      <c r="E242" t="s">
        <v>19</v>
      </c>
      <c r="F242">
        <v>2024</v>
      </c>
      <c r="G242" t="s">
        <v>20</v>
      </c>
      <c r="H242">
        <v>513.29999999999995</v>
      </c>
      <c r="I242">
        <v>527</v>
      </c>
      <c r="J242">
        <v>513.29999999999995</v>
      </c>
      <c r="K242">
        <v>513.20000000000005</v>
      </c>
      <c r="L242">
        <v>514</v>
      </c>
      <c r="M242">
        <v>516.65</v>
      </c>
      <c r="N242">
        <v>521.49</v>
      </c>
      <c r="O242">
        <v>537.95000000000005</v>
      </c>
      <c r="P242">
        <v>221</v>
      </c>
      <c r="Q242">
        <v>3169799</v>
      </c>
      <c r="R242">
        <v>55679</v>
      </c>
    </row>
    <row r="243" spans="1:18" x14ac:dyDescent="0.25">
      <c r="A243" s="1">
        <v>45377</v>
      </c>
      <c r="B243" s="1" t="str">
        <f>TEXT(A243,"mmm"&amp;"yyy")</f>
        <v>Mar2024</v>
      </c>
      <c r="C243" t="s">
        <v>22</v>
      </c>
      <c r="D243" t="s">
        <v>18</v>
      </c>
      <c r="E243" t="s">
        <v>19</v>
      </c>
      <c r="F243">
        <v>2024</v>
      </c>
      <c r="G243" t="s">
        <v>20</v>
      </c>
      <c r="H243">
        <v>520.95000000000005</v>
      </c>
      <c r="I243">
        <v>528.70000000000005</v>
      </c>
      <c r="J243">
        <v>509.45</v>
      </c>
      <c r="K243">
        <v>515.45000000000005</v>
      </c>
      <c r="L243">
        <v>512</v>
      </c>
      <c r="M243">
        <v>513.20000000000005</v>
      </c>
      <c r="N243">
        <v>517.35</v>
      </c>
      <c r="O243">
        <v>537.95000000000005</v>
      </c>
      <c r="P243">
        <v>221</v>
      </c>
      <c r="Q243">
        <v>2405945</v>
      </c>
      <c r="R243">
        <v>51450</v>
      </c>
    </row>
    <row r="244" spans="1:18" x14ac:dyDescent="0.25">
      <c r="A244" s="1">
        <v>45373</v>
      </c>
      <c r="B244" s="1" t="str">
        <f>TEXT(A244,"mmm"&amp;"yyy")</f>
        <v>Mar2024</v>
      </c>
      <c r="C244" t="s">
        <v>24</v>
      </c>
      <c r="D244" t="s">
        <v>18</v>
      </c>
      <c r="E244" t="s">
        <v>19</v>
      </c>
      <c r="F244">
        <v>2024</v>
      </c>
      <c r="G244" t="s">
        <v>20</v>
      </c>
      <c r="H244">
        <v>504.8</v>
      </c>
      <c r="I244">
        <v>517.5</v>
      </c>
      <c r="J244">
        <v>500.05</v>
      </c>
      <c r="K244">
        <v>504.55</v>
      </c>
      <c r="L244">
        <v>514.95000000000005</v>
      </c>
      <c r="M244">
        <v>515.45000000000005</v>
      </c>
      <c r="N244">
        <v>510.61</v>
      </c>
      <c r="O244">
        <v>537.95000000000005</v>
      </c>
      <c r="P244">
        <v>221</v>
      </c>
      <c r="Q244">
        <v>2676903</v>
      </c>
      <c r="R244">
        <v>33870</v>
      </c>
    </row>
    <row r="245" spans="1:18" x14ac:dyDescent="0.25">
      <c r="A245" s="1">
        <v>45372</v>
      </c>
      <c r="B245" s="1" t="str">
        <f>TEXT(A245,"mmm"&amp;"yyy")</f>
        <v>Mar2024</v>
      </c>
      <c r="C245" t="s">
        <v>17</v>
      </c>
      <c r="D245" t="s">
        <v>18</v>
      </c>
      <c r="E245" t="s">
        <v>19</v>
      </c>
      <c r="F245">
        <v>2024</v>
      </c>
      <c r="G245" t="s">
        <v>20</v>
      </c>
      <c r="H245">
        <v>494.5</v>
      </c>
      <c r="I245">
        <v>507</v>
      </c>
      <c r="J245">
        <v>492.8</v>
      </c>
      <c r="K245">
        <v>489.15</v>
      </c>
      <c r="L245">
        <v>504.85</v>
      </c>
      <c r="M245">
        <v>504.55</v>
      </c>
      <c r="N245">
        <v>500.11</v>
      </c>
      <c r="O245">
        <v>537.95000000000005</v>
      </c>
      <c r="P245">
        <v>221</v>
      </c>
      <c r="Q245">
        <v>2459438</v>
      </c>
      <c r="R245">
        <v>54480</v>
      </c>
    </row>
    <row r="246" spans="1:18" x14ac:dyDescent="0.25">
      <c r="A246" s="1">
        <v>45371</v>
      </c>
      <c r="B246" s="1" t="str">
        <f>TEXT(A246,"mmm"&amp;"yyy")</f>
        <v>Mar2024</v>
      </c>
      <c r="C246" t="s">
        <v>21</v>
      </c>
      <c r="D246" t="s">
        <v>18</v>
      </c>
      <c r="E246" t="s">
        <v>19</v>
      </c>
      <c r="F246">
        <v>2024</v>
      </c>
      <c r="G246" t="s">
        <v>20</v>
      </c>
      <c r="H246">
        <v>482</v>
      </c>
      <c r="I246">
        <v>494.9</v>
      </c>
      <c r="J246">
        <v>478.65</v>
      </c>
      <c r="K246">
        <v>482.8</v>
      </c>
      <c r="L246">
        <v>488.5</v>
      </c>
      <c r="M246">
        <v>489.15</v>
      </c>
      <c r="N246">
        <v>488.95</v>
      </c>
      <c r="O246">
        <v>537.95000000000005</v>
      </c>
      <c r="P246">
        <v>221</v>
      </c>
      <c r="Q246">
        <v>1667394</v>
      </c>
      <c r="R246">
        <v>40573</v>
      </c>
    </row>
    <row r="247" spans="1:18" x14ac:dyDescent="0.25">
      <c r="A247" s="1">
        <v>45370</v>
      </c>
      <c r="B247" s="1" t="str">
        <f>TEXT(A247,"mmm"&amp;"yyy")</f>
        <v>Mar2024</v>
      </c>
      <c r="C247" t="s">
        <v>22</v>
      </c>
      <c r="D247" t="s">
        <v>18</v>
      </c>
      <c r="E247" t="s">
        <v>19</v>
      </c>
      <c r="F247">
        <v>2024</v>
      </c>
      <c r="G247" t="s">
        <v>20</v>
      </c>
      <c r="H247">
        <v>487.95</v>
      </c>
      <c r="I247">
        <v>495.9</v>
      </c>
      <c r="J247">
        <v>475</v>
      </c>
      <c r="K247">
        <v>495.4</v>
      </c>
      <c r="L247">
        <v>479</v>
      </c>
      <c r="M247">
        <v>482.8</v>
      </c>
      <c r="N247">
        <v>485.55</v>
      </c>
      <c r="O247">
        <v>537.95000000000005</v>
      </c>
      <c r="P247">
        <v>221</v>
      </c>
      <c r="Q247">
        <v>1848152</v>
      </c>
      <c r="R247">
        <v>37591</v>
      </c>
    </row>
    <row r="248" spans="1:18" x14ac:dyDescent="0.25">
      <c r="A248" s="1">
        <v>45369</v>
      </c>
      <c r="B248" s="1" t="str">
        <f>TEXT(A248,"mmm"&amp;"yyy")</f>
        <v>Mar2024</v>
      </c>
      <c r="C248" t="s">
        <v>23</v>
      </c>
      <c r="D248" t="s">
        <v>18</v>
      </c>
      <c r="E248" t="s">
        <v>19</v>
      </c>
      <c r="F248">
        <v>2024</v>
      </c>
      <c r="G248" t="s">
        <v>20</v>
      </c>
      <c r="H248">
        <v>500</v>
      </c>
      <c r="I248">
        <v>502.15</v>
      </c>
      <c r="J248">
        <v>481</v>
      </c>
      <c r="K248">
        <v>497.9</v>
      </c>
      <c r="L248">
        <v>494.3</v>
      </c>
      <c r="M248">
        <v>495.4</v>
      </c>
      <c r="N248">
        <v>491.63</v>
      </c>
      <c r="O248">
        <v>537.95000000000005</v>
      </c>
      <c r="P248">
        <v>221</v>
      </c>
      <c r="Q248">
        <v>2663154</v>
      </c>
      <c r="R248">
        <v>54144</v>
      </c>
    </row>
  </sheetData>
  <conditionalFormatting sqref="H1:H248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I1:I248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J2:J248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Q1:Q1048576">
    <cfRule type="cellIs" dxfId="10" priority="5" operator="between">
      <formula>5000000</formula>
      <formula>1200000</formula>
    </cfRule>
    <cfRule type="cellIs" dxfId="9" priority="7" operator="between">
      <formula>10000000</formula>
      <formula>5000000</formula>
    </cfRule>
    <cfRule type="cellIs" dxfId="8" priority="8" operator="between">
      <formula>50000000</formula>
      <formula>10000000</formula>
    </cfRule>
  </conditionalFormatting>
  <conditionalFormatting sqref="Q1:Q248">
    <cfRule type="cellIs" dxfId="7" priority="6" operator="between">
      <formula>1000000</formula>
      <formula>10000</formula>
    </cfRule>
  </conditionalFormatting>
  <conditionalFormatting sqref="Q2:Q248">
    <cfRule type="cellIs" dxfId="6" priority="4" operator="between">
      <formula>5000000</formula>
      <formula>1000000</formula>
    </cfRule>
  </conditionalFormatting>
  <conditionalFormatting sqref="R2:R248">
    <cfRule type="cellIs" dxfId="5" priority="1" operator="lessThan">
      <formula>50000</formula>
    </cfRule>
    <cfRule type="cellIs" dxfId="4" priority="2" operator="between">
      <formula>100000</formula>
      <formula>50000</formula>
    </cfRule>
    <cfRule type="cellIs" dxfId="3" priority="3" operator="greaterThan">
      <formula>100000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8"/>
  <sheetViews>
    <sheetView workbookViewId="0">
      <selection activeCell="E23" sqref="E23"/>
    </sheetView>
  </sheetViews>
  <sheetFormatPr defaultRowHeight="15" x14ac:dyDescent="0.25"/>
  <cols>
    <col min="1" max="1" width="10.140625" bestFit="1" customWidth="1"/>
    <col min="5" max="5" width="12.28515625" customWidth="1"/>
    <col min="6" max="6" width="18.140625" customWidth="1"/>
  </cols>
  <sheetData>
    <row r="1" spans="1:6" x14ac:dyDescent="0.25">
      <c r="A1" t="s">
        <v>0</v>
      </c>
      <c r="B1" t="s">
        <v>11</v>
      </c>
      <c r="E1" s="58" t="s">
        <v>40</v>
      </c>
      <c r="F1" s="58"/>
    </row>
    <row r="2" spans="1:6" x14ac:dyDescent="0.25">
      <c r="A2" s="1">
        <v>45729</v>
      </c>
      <c r="B2">
        <v>514.1</v>
      </c>
      <c r="E2" s="2" t="s">
        <v>2</v>
      </c>
      <c r="F2" s="3" t="s">
        <v>43</v>
      </c>
    </row>
    <row r="3" spans="1:6" x14ac:dyDescent="0.25">
      <c r="A3" s="1">
        <v>45728</v>
      </c>
      <c r="B3">
        <v>515.20000000000005</v>
      </c>
      <c r="E3" s="7">
        <v>45352</v>
      </c>
      <c r="F3" s="8">
        <v>505.76250000000005</v>
      </c>
    </row>
    <row r="4" spans="1:6" x14ac:dyDescent="0.25">
      <c r="A4" s="1">
        <v>45727</v>
      </c>
      <c r="B4">
        <v>513.75</v>
      </c>
      <c r="E4" s="7">
        <v>45383</v>
      </c>
      <c r="F4" s="8">
        <v>601.53250000000003</v>
      </c>
    </row>
    <row r="5" spans="1:6" x14ac:dyDescent="0.25">
      <c r="A5" s="1">
        <v>45726</v>
      </c>
      <c r="B5">
        <v>505.35</v>
      </c>
      <c r="E5" s="7">
        <v>45413</v>
      </c>
      <c r="F5" s="8">
        <v>599.55227272727268</v>
      </c>
    </row>
    <row r="6" spans="1:6" x14ac:dyDescent="0.25">
      <c r="A6" s="1">
        <v>45723</v>
      </c>
      <c r="B6">
        <v>491.7</v>
      </c>
      <c r="E6" s="7">
        <v>45444</v>
      </c>
      <c r="F6" s="8">
        <v>674.62894736842111</v>
      </c>
    </row>
    <row r="7" spans="1:6" x14ac:dyDescent="0.25">
      <c r="A7" s="1">
        <v>45722</v>
      </c>
      <c r="B7">
        <v>499.6</v>
      </c>
      <c r="E7" s="7">
        <v>45474</v>
      </c>
      <c r="F7" s="8">
        <v>714.73863636363649</v>
      </c>
    </row>
    <row r="8" spans="1:6" x14ac:dyDescent="0.25">
      <c r="A8" s="1">
        <v>45721</v>
      </c>
      <c r="B8">
        <v>509.1</v>
      </c>
      <c r="E8" s="7">
        <v>45505</v>
      </c>
      <c r="F8" s="8">
        <v>700.57142857142856</v>
      </c>
    </row>
    <row r="9" spans="1:6" x14ac:dyDescent="0.25">
      <c r="A9" s="1">
        <v>45720</v>
      </c>
      <c r="B9">
        <v>481.25</v>
      </c>
      <c r="E9" s="7">
        <v>45536</v>
      </c>
      <c r="F9" s="8">
        <v>746.53333333333342</v>
      </c>
    </row>
    <row r="10" spans="1:6" x14ac:dyDescent="0.25">
      <c r="A10" s="1">
        <v>45719</v>
      </c>
      <c r="B10">
        <v>473.85</v>
      </c>
      <c r="E10" s="7">
        <v>45566</v>
      </c>
      <c r="F10" s="8">
        <v>690.64318181818203</v>
      </c>
    </row>
    <row r="11" spans="1:6" x14ac:dyDescent="0.25">
      <c r="A11" s="1">
        <v>45716</v>
      </c>
      <c r="B11">
        <v>464.1</v>
      </c>
      <c r="E11" s="7">
        <v>45597</v>
      </c>
      <c r="F11" s="8">
        <v>694.43421052631561</v>
      </c>
    </row>
    <row r="12" spans="1:6" x14ac:dyDescent="0.25">
      <c r="A12" s="1">
        <v>45715</v>
      </c>
      <c r="B12">
        <v>458.8</v>
      </c>
      <c r="E12" s="7">
        <v>45627</v>
      </c>
      <c r="F12" s="8">
        <v>663.20476190476199</v>
      </c>
    </row>
    <row r="13" spans="1:6" x14ac:dyDescent="0.25">
      <c r="A13" s="1">
        <v>45713</v>
      </c>
      <c r="B13">
        <v>467.25</v>
      </c>
      <c r="E13" s="7">
        <v>45658</v>
      </c>
      <c r="F13" s="8">
        <v>558.59347826086946</v>
      </c>
    </row>
    <row r="14" spans="1:6" x14ac:dyDescent="0.25">
      <c r="A14" s="1">
        <v>45712</v>
      </c>
      <c r="B14">
        <v>479.7</v>
      </c>
      <c r="E14" s="7">
        <v>45689</v>
      </c>
      <c r="F14" s="8">
        <v>466.89499999999998</v>
      </c>
    </row>
    <row r="15" spans="1:6" x14ac:dyDescent="0.25">
      <c r="A15" s="1">
        <v>45709</v>
      </c>
      <c r="B15">
        <v>496.6</v>
      </c>
      <c r="E15" s="7">
        <v>45717</v>
      </c>
      <c r="F15" s="8">
        <v>500.43333333333328</v>
      </c>
    </row>
    <row r="16" spans="1:6" x14ac:dyDescent="0.25">
      <c r="A16" s="1">
        <v>45708</v>
      </c>
      <c r="B16">
        <v>468.55</v>
      </c>
      <c r="E16" s="7">
        <v>45748</v>
      </c>
      <c r="F16" s="8">
        <f>TREND($F$3:$F$15,$E$3:$E$15,E16:E20)</f>
        <v>588.12002508082151</v>
      </c>
    </row>
    <row r="17" spans="1:9" x14ac:dyDescent="0.25">
      <c r="A17" s="1">
        <v>45707</v>
      </c>
      <c r="B17">
        <v>454.85</v>
      </c>
      <c r="E17" s="7">
        <v>45778</v>
      </c>
      <c r="F17" s="8">
        <f t="shared" ref="F17:F20" si="0">TREND($F$3:$F$15,$E$3:$E$15,E17:E21)</f>
        <v>582.99555973709903</v>
      </c>
    </row>
    <row r="18" spans="1:9" x14ac:dyDescent="0.25">
      <c r="A18" s="1">
        <v>45706</v>
      </c>
      <c r="B18">
        <v>440.4</v>
      </c>
      <c r="E18" s="7">
        <v>45809</v>
      </c>
      <c r="F18" s="8">
        <f t="shared" si="0"/>
        <v>577.70027888191817</v>
      </c>
    </row>
    <row r="19" spans="1:9" x14ac:dyDescent="0.25">
      <c r="A19" s="1">
        <v>45705</v>
      </c>
      <c r="B19">
        <v>431.5</v>
      </c>
      <c r="E19" s="7">
        <v>45839</v>
      </c>
      <c r="F19" s="8">
        <f t="shared" si="0"/>
        <v>572.57581353819569</v>
      </c>
      <c r="I19" s="47"/>
    </row>
    <row r="20" spans="1:9" x14ac:dyDescent="0.25">
      <c r="A20" s="1">
        <v>45702</v>
      </c>
      <c r="B20">
        <v>437.1</v>
      </c>
      <c r="E20" s="7">
        <v>45870</v>
      </c>
      <c r="F20" s="8">
        <f t="shared" si="0"/>
        <v>567.28053268301574</v>
      </c>
    </row>
    <row r="21" spans="1:9" x14ac:dyDescent="0.25">
      <c r="A21" s="1">
        <v>45701</v>
      </c>
      <c r="B21">
        <v>467.65</v>
      </c>
    </row>
    <row r="22" spans="1:9" x14ac:dyDescent="0.25">
      <c r="A22" s="1">
        <v>45700</v>
      </c>
      <c r="B22">
        <v>467.6</v>
      </c>
    </row>
    <row r="23" spans="1:9" x14ac:dyDescent="0.25">
      <c r="A23" s="1">
        <v>45699</v>
      </c>
      <c r="B23">
        <v>466.9</v>
      </c>
    </row>
    <row r="24" spans="1:9" x14ac:dyDescent="0.25">
      <c r="A24" s="1">
        <v>45698</v>
      </c>
      <c r="B24">
        <v>476.9</v>
      </c>
    </row>
    <row r="25" spans="1:9" x14ac:dyDescent="0.25">
      <c r="A25" s="1">
        <v>45695</v>
      </c>
      <c r="B25">
        <v>484.65</v>
      </c>
    </row>
    <row r="26" spans="1:9" x14ac:dyDescent="0.25">
      <c r="A26" s="1">
        <v>45694</v>
      </c>
      <c r="B26">
        <v>494.2</v>
      </c>
    </row>
    <row r="27" spans="1:9" x14ac:dyDescent="0.25">
      <c r="A27" s="1">
        <v>45693</v>
      </c>
      <c r="B27">
        <v>493.8</v>
      </c>
    </row>
    <row r="28" spans="1:9" x14ac:dyDescent="0.25">
      <c r="A28" s="1">
        <v>45692</v>
      </c>
      <c r="B28">
        <v>469.7</v>
      </c>
    </row>
    <row r="29" spans="1:9" x14ac:dyDescent="0.25">
      <c r="A29" s="1">
        <v>45691</v>
      </c>
      <c r="B29">
        <v>445.65</v>
      </c>
    </row>
    <row r="30" spans="1:9" x14ac:dyDescent="0.25">
      <c r="A30" s="1">
        <v>45689</v>
      </c>
      <c r="B30">
        <v>472</v>
      </c>
    </row>
    <row r="31" spans="1:9" x14ac:dyDescent="0.25">
      <c r="A31" s="1">
        <v>45688</v>
      </c>
      <c r="B31">
        <v>508.6</v>
      </c>
    </row>
    <row r="32" spans="1:9" x14ac:dyDescent="0.25">
      <c r="A32" s="1">
        <v>45687</v>
      </c>
      <c r="B32">
        <v>483.85</v>
      </c>
    </row>
    <row r="33" spans="1:2" x14ac:dyDescent="0.25">
      <c r="A33" s="1">
        <v>45686</v>
      </c>
      <c r="B33">
        <v>474.75</v>
      </c>
    </row>
    <row r="34" spans="1:2" x14ac:dyDescent="0.25">
      <c r="A34" s="1">
        <v>45685</v>
      </c>
      <c r="B34">
        <v>504</v>
      </c>
    </row>
    <row r="35" spans="1:2" x14ac:dyDescent="0.25">
      <c r="A35" s="1">
        <v>45684</v>
      </c>
      <c r="B35">
        <v>534.35</v>
      </c>
    </row>
    <row r="36" spans="1:2" x14ac:dyDescent="0.25">
      <c r="A36" s="1">
        <v>45681</v>
      </c>
      <c r="B36">
        <v>544.15</v>
      </c>
    </row>
    <row r="37" spans="1:2" x14ac:dyDescent="0.25">
      <c r="A37" s="1">
        <v>45680</v>
      </c>
      <c r="B37">
        <v>552.1</v>
      </c>
    </row>
    <row r="38" spans="1:2" x14ac:dyDescent="0.25">
      <c r="A38" s="1">
        <v>45679</v>
      </c>
      <c r="B38">
        <v>550</v>
      </c>
    </row>
    <row r="39" spans="1:2" x14ac:dyDescent="0.25">
      <c r="A39" s="1">
        <v>45678</v>
      </c>
      <c r="B39">
        <v>557.54999999999995</v>
      </c>
    </row>
    <row r="40" spans="1:2" x14ac:dyDescent="0.25">
      <c r="A40" s="1">
        <v>45677</v>
      </c>
      <c r="B40">
        <v>579.25</v>
      </c>
    </row>
    <row r="41" spans="1:2" x14ac:dyDescent="0.25">
      <c r="A41" s="1">
        <v>45674</v>
      </c>
      <c r="B41">
        <v>568</v>
      </c>
    </row>
    <row r="42" spans="1:2" x14ac:dyDescent="0.25">
      <c r="A42" s="1">
        <v>45673</v>
      </c>
      <c r="B42">
        <v>570.45000000000005</v>
      </c>
    </row>
    <row r="43" spans="1:2" x14ac:dyDescent="0.25">
      <c r="A43" s="1">
        <v>45672</v>
      </c>
      <c r="B43">
        <v>561.5</v>
      </c>
    </row>
    <row r="44" spans="1:2" x14ac:dyDescent="0.25">
      <c r="A44" s="1">
        <v>45671</v>
      </c>
      <c r="B44">
        <v>547.85</v>
      </c>
    </row>
    <row r="45" spans="1:2" x14ac:dyDescent="0.25">
      <c r="A45" s="1">
        <v>45670</v>
      </c>
      <c r="B45">
        <v>517.75</v>
      </c>
    </row>
    <row r="46" spans="1:2" x14ac:dyDescent="0.25">
      <c r="A46" s="1">
        <v>45667</v>
      </c>
      <c r="B46">
        <v>539.6</v>
      </c>
    </row>
    <row r="47" spans="1:2" x14ac:dyDescent="0.25">
      <c r="A47" s="1">
        <v>45666</v>
      </c>
      <c r="B47">
        <v>557.65</v>
      </c>
    </row>
    <row r="48" spans="1:2" x14ac:dyDescent="0.25">
      <c r="A48" s="1">
        <v>45665</v>
      </c>
      <c r="B48">
        <v>579.35</v>
      </c>
    </row>
    <row r="49" spans="1:2" x14ac:dyDescent="0.25">
      <c r="A49" s="1">
        <v>45664</v>
      </c>
      <c r="B49">
        <v>595.65</v>
      </c>
    </row>
    <row r="50" spans="1:2" x14ac:dyDescent="0.25">
      <c r="A50" s="1">
        <v>45663</v>
      </c>
      <c r="B50">
        <v>601.54999999999995</v>
      </c>
    </row>
    <row r="51" spans="1:2" x14ac:dyDescent="0.25">
      <c r="A51" s="1">
        <v>45660</v>
      </c>
      <c r="B51">
        <v>634.4</v>
      </c>
    </row>
    <row r="52" spans="1:2" x14ac:dyDescent="0.25">
      <c r="A52" s="1">
        <v>45659</v>
      </c>
      <c r="B52">
        <v>641</v>
      </c>
    </row>
    <row r="53" spans="1:2" x14ac:dyDescent="0.25">
      <c r="A53" s="1">
        <v>45658</v>
      </c>
      <c r="B53">
        <v>644.29999999999995</v>
      </c>
    </row>
    <row r="54" spans="1:2" x14ac:dyDescent="0.25">
      <c r="A54" s="1">
        <v>45657</v>
      </c>
      <c r="B54">
        <v>642.65</v>
      </c>
    </row>
    <row r="55" spans="1:2" x14ac:dyDescent="0.25">
      <c r="A55" s="1">
        <v>45656</v>
      </c>
      <c r="B55">
        <v>643.5</v>
      </c>
    </row>
    <row r="56" spans="1:2" x14ac:dyDescent="0.25">
      <c r="A56" s="1">
        <v>45653</v>
      </c>
      <c r="B56">
        <v>625.79999999999995</v>
      </c>
    </row>
    <row r="57" spans="1:2" x14ac:dyDescent="0.25">
      <c r="A57" s="1">
        <v>45652</v>
      </c>
      <c r="B57">
        <v>636.5</v>
      </c>
    </row>
    <row r="58" spans="1:2" x14ac:dyDescent="0.25">
      <c r="A58" s="1">
        <v>45650</v>
      </c>
      <c r="B58">
        <v>648.04999999999995</v>
      </c>
    </row>
    <row r="59" spans="1:2" x14ac:dyDescent="0.25">
      <c r="A59" s="1">
        <v>45649</v>
      </c>
      <c r="B59">
        <v>659.7</v>
      </c>
    </row>
    <row r="60" spans="1:2" x14ac:dyDescent="0.25">
      <c r="A60" s="1">
        <v>45646</v>
      </c>
      <c r="B60">
        <v>669.8</v>
      </c>
    </row>
    <row r="61" spans="1:2" x14ac:dyDescent="0.25">
      <c r="A61" s="1">
        <v>45645</v>
      </c>
      <c r="B61">
        <v>685</v>
      </c>
    </row>
    <row r="62" spans="1:2" x14ac:dyDescent="0.25">
      <c r="A62" s="1">
        <v>45644</v>
      </c>
      <c r="B62">
        <v>682.05</v>
      </c>
    </row>
    <row r="63" spans="1:2" x14ac:dyDescent="0.25">
      <c r="A63" s="1">
        <v>45643</v>
      </c>
      <c r="B63">
        <v>685.15</v>
      </c>
    </row>
    <row r="64" spans="1:2" x14ac:dyDescent="0.25">
      <c r="A64" s="1">
        <v>45642</v>
      </c>
      <c r="B64">
        <v>688.95</v>
      </c>
    </row>
    <row r="65" spans="1:2" x14ac:dyDescent="0.25">
      <c r="A65" s="1">
        <v>45639</v>
      </c>
      <c r="B65">
        <v>678.6</v>
      </c>
    </row>
    <row r="66" spans="1:2" x14ac:dyDescent="0.25">
      <c r="A66" s="1">
        <v>45638</v>
      </c>
      <c r="B66">
        <v>685.25</v>
      </c>
    </row>
    <row r="67" spans="1:2" x14ac:dyDescent="0.25">
      <c r="A67" s="1">
        <v>45637</v>
      </c>
      <c r="B67">
        <v>677.6</v>
      </c>
    </row>
    <row r="68" spans="1:2" x14ac:dyDescent="0.25">
      <c r="A68" s="1">
        <v>45636</v>
      </c>
      <c r="B68">
        <v>668</v>
      </c>
    </row>
    <row r="69" spans="1:2" x14ac:dyDescent="0.25">
      <c r="A69" s="1">
        <v>45635</v>
      </c>
      <c r="B69">
        <v>675.2</v>
      </c>
    </row>
    <row r="70" spans="1:2" x14ac:dyDescent="0.25">
      <c r="A70" s="1">
        <v>45632</v>
      </c>
      <c r="B70">
        <v>674.35</v>
      </c>
    </row>
    <row r="71" spans="1:2" x14ac:dyDescent="0.25">
      <c r="A71" s="1">
        <v>45631</v>
      </c>
      <c r="B71">
        <v>664.15</v>
      </c>
    </row>
    <row r="72" spans="1:2" x14ac:dyDescent="0.25">
      <c r="A72" s="1">
        <v>45630</v>
      </c>
      <c r="B72">
        <v>648.4</v>
      </c>
    </row>
    <row r="73" spans="1:2" x14ac:dyDescent="0.25">
      <c r="A73" s="1">
        <v>45629</v>
      </c>
      <c r="B73">
        <v>642.95000000000005</v>
      </c>
    </row>
    <row r="74" spans="1:2" x14ac:dyDescent="0.25">
      <c r="A74" s="1">
        <v>45628</v>
      </c>
      <c r="B74">
        <v>645.65</v>
      </c>
    </row>
    <row r="75" spans="1:2" x14ac:dyDescent="0.25">
      <c r="A75" s="1">
        <v>45625</v>
      </c>
      <c r="B75">
        <v>654.65</v>
      </c>
    </row>
    <row r="76" spans="1:2" x14ac:dyDescent="0.25">
      <c r="A76" s="1">
        <v>45624</v>
      </c>
      <c r="B76">
        <v>662.8</v>
      </c>
    </row>
    <row r="77" spans="1:2" x14ac:dyDescent="0.25">
      <c r="A77" s="1">
        <v>45623</v>
      </c>
      <c r="B77">
        <v>673.3</v>
      </c>
    </row>
    <row r="78" spans="1:2" x14ac:dyDescent="0.25">
      <c r="A78" s="1">
        <v>45622</v>
      </c>
      <c r="B78">
        <v>657.4</v>
      </c>
    </row>
    <row r="79" spans="1:2" x14ac:dyDescent="0.25">
      <c r="A79" s="1">
        <v>45621</v>
      </c>
      <c r="B79">
        <v>675.05</v>
      </c>
    </row>
    <row r="80" spans="1:2" x14ac:dyDescent="0.25">
      <c r="A80" s="1">
        <v>45618</v>
      </c>
      <c r="B80">
        <v>688.9</v>
      </c>
    </row>
    <row r="81" spans="1:2" x14ac:dyDescent="0.25">
      <c r="A81" s="1">
        <v>45617</v>
      </c>
      <c r="B81">
        <v>699.15</v>
      </c>
    </row>
    <row r="82" spans="1:2" x14ac:dyDescent="0.25">
      <c r="A82" s="1">
        <v>45615</v>
      </c>
      <c r="B82">
        <v>709.9</v>
      </c>
    </row>
    <row r="83" spans="1:2" x14ac:dyDescent="0.25">
      <c r="A83" s="1">
        <v>45614</v>
      </c>
      <c r="B83">
        <v>712.8</v>
      </c>
    </row>
    <row r="84" spans="1:2" x14ac:dyDescent="0.25">
      <c r="A84" s="1">
        <v>45610</v>
      </c>
      <c r="B84">
        <v>732</v>
      </c>
    </row>
    <row r="85" spans="1:2" x14ac:dyDescent="0.25">
      <c r="A85" s="1">
        <v>45609</v>
      </c>
      <c r="B85">
        <v>728.95</v>
      </c>
    </row>
    <row r="86" spans="1:2" x14ac:dyDescent="0.25">
      <c r="A86" s="1">
        <v>45608</v>
      </c>
      <c r="B86">
        <v>750.05</v>
      </c>
    </row>
    <row r="87" spans="1:2" x14ac:dyDescent="0.25">
      <c r="A87" s="1">
        <v>45607</v>
      </c>
      <c r="B87">
        <v>739.25</v>
      </c>
    </row>
    <row r="88" spans="1:2" x14ac:dyDescent="0.25">
      <c r="A88" s="1">
        <v>45604</v>
      </c>
      <c r="B88">
        <v>712.05</v>
      </c>
    </row>
    <row r="89" spans="1:2" x14ac:dyDescent="0.25">
      <c r="A89" s="1">
        <v>45603</v>
      </c>
      <c r="B89">
        <v>714.8</v>
      </c>
    </row>
    <row r="90" spans="1:2" x14ac:dyDescent="0.25">
      <c r="A90" s="1">
        <v>45602</v>
      </c>
      <c r="B90">
        <v>682.6</v>
      </c>
    </row>
    <row r="91" spans="1:2" x14ac:dyDescent="0.25">
      <c r="A91" s="1">
        <v>45601</v>
      </c>
      <c r="B91">
        <v>654.79999999999995</v>
      </c>
    </row>
    <row r="92" spans="1:2" x14ac:dyDescent="0.25">
      <c r="A92" s="1">
        <v>45600</v>
      </c>
      <c r="B92">
        <v>663.15</v>
      </c>
    </row>
    <row r="93" spans="1:2" x14ac:dyDescent="0.25">
      <c r="A93" s="1">
        <v>45597</v>
      </c>
      <c r="B93">
        <v>682.65</v>
      </c>
    </row>
    <row r="94" spans="1:2" x14ac:dyDescent="0.25">
      <c r="A94" s="1">
        <v>45596</v>
      </c>
      <c r="B94">
        <v>679.15</v>
      </c>
    </row>
    <row r="95" spans="1:2" x14ac:dyDescent="0.25">
      <c r="A95" s="1">
        <v>45595</v>
      </c>
      <c r="B95">
        <v>674.35</v>
      </c>
    </row>
    <row r="96" spans="1:2" x14ac:dyDescent="0.25">
      <c r="A96" s="1">
        <v>45594</v>
      </c>
      <c r="B96">
        <v>683.3</v>
      </c>
    </row>
    <row r="97" spans="1:2" x14ac:dyDescent="0.25">
      <c r="A97" s="1">
        <v>45593</v>
      </c>
      <c r="B97">
        <v>642.9</v>
      </c>
    </row>
    <row r="98" spans="1:2" x14ac:dyDescent="0.25">
      <c r="A98" s="1">
        <v>45590</v>
      </c>
      <c r="B98">
        <v>668.9</v>
      </c>
    </row>
    <row r="99" spans="1:2" x14ac:dyDescent="0.25">
      <c r="A99" s="1">
        <v>45589</v>
      </c>
      <c r="B99">
        <v>671</v>
      </c>
    </row>
    <row r="100" spans="1:2" x14ac:dyDescent="0.25">
      <c r="A100" s="1">
        <v>45588</v>
      </c>
      <c r="B100">
        <v>687.75</v>
      </c>
    </row>
    <row r="101" spans="1:2" x14ac:dyDescent="0.25">
      <c r="A101" s="1">
        <v>45587</v>
      </c>
      <c r="B101">
        <v>670.25</v>
      </c>
    </row>
    <row r="102" spans="1:2" x14ac:dyDescent="0.25">
      <c r="A102" s="1">
        <v>45586</v>
      </c>
      <c r="B102">
        <v>684.55</v>
      </c>
    </row>
    <row r="103" spans="1:2" x14ac:dyDescent="0.25">
      <c r="A103" s="1">
        <v>45583</v>
      </c>
      <c r="B103">
        <v>676.85</v>
      </c>
    </row>
    <row r="104" spans="1:2" x14ac:dyDescent="0.25">
      <c r="A104" s="1">
        <v>45582</v>
      </c>
      <c r="B104">
        <v>676.55</v>
      </c>
    </row>
    <row r="105" spans="1:2" x14ac:dyDescent="0.25">
      <c r="A105" s="1">
        <v>45581</v>
      </c>
      <c r="B105">
        <v>689.3</v>
      </c>
    </row>
    <row r="106" spans="1:2" x14ac:dyDescent="0.25">
      <c r="A106" s="1">
        <v>45580</v>
      </c>
      <c r="B106">
        <v>692.15</v>
      </c>
    </row>
    <row r="107" spans="1:2" x14ac:dyDescent="0.25">
      <c r="A107" s="1">
        <v>45579</v>
      </c>
      <c r="B107">
        <v>703.2</v>
      </c>
    </row>
    <row r="108" spans="1:2" x14ac:dyDescent="0.25">
      <c r="A108" s="1">
        <v>45576</v>
      </c>
      <c r="B108">
        <v>706.7</v>
      </c>
    </row>
    <row r="109" spans="1:2" x14ac:dyDescent="0.25">
      <c r="A109" s="1">
        <v>45575</v>
      </c>
      <c r="B109">
        <v>728.85</v>
      </c>
    </row>
    <row r="110" spans="1:2" x14ac:dyDescent="0.25">
      <c r="A110" s="1">
        <v>45574</v>
      </c>
      <c r="B110">
        <v>730.1</v>
      </c>
    </row>
    <row r="111" spans="1:2" x14ac:dyDescent="0.25">
      <c r="A111" s="1">
        <v>45573</v>
      </c>
      <c r="B111">
        <v>722.55</v>
      </c>
    </row>
    <row r="112" spans="1:2" x14ac:dyDescent="0.25">
      <c r="A112" s="1">
        <v>45572</v>
      </c>
      <c r="B112">
        <v>674.2</v>
      </c>
    </row>
    <row r="113" spans="1:2" x14ac:dyDescent="0.25">
      <c r="A113" s="1">
        <v>45569</v>
      </c>
      <c r="B113">
        <v>699.5</v>
      </c>
    </row>
    <row r="114" spans="1:2" x14ac:dyDescent="0.25">
      <c r="A114" s="1">
        <v>45568</v>
      </c>
      <c r="B114">
        <v>708.6</v>
      </c>
    </row>
    <row r="115" spans="1:2" x14ac:dyDescent="0.25">
      <c r="A115" s="1">
        <v>45566</v>
      </c>
      <c r="B115">
        <v>723.45</v>
      </c>
    </row>
    <row r="116" spans="1:2" x14ac:dyDescent="0.25">
      <c r="A116" s="1">
        <v>45565</v>
      </c>
      <c r="B116">
        <v>733.05</v>
      </c>
    </row>
    <row r="117" spans="1:2" x14ac:dyDescent="0.25">
      <c r="A117" s="1">
        <v>45562</v>
      </c>
      <c r="B117">
        <v>740.3</v>
      </c>
    </row>
    <row r="118" spans="1:2" x14ac:dyDescent="0.25">
      <c r="A118" s="1">
        <v>45561</v>
      </c>
      <c r="B118">
        <v>776.4</v>
      </c>
    </row>
    <row r="119" spans="1:2" x14ac:dyDescent="0.25">
      <c r="A119" s="1">
        <v>45560</v>
      </c>
      <c r="B119">
        <v>783.9</v>
      </c>
    </row>
    <row r="120" spans="1:2" x14ac:dyDescent="0.25">
      <c r="A120" s="1">
        <v>45559</v>
      </c>
      <c r="B120">
        <v>789.3</v>
      </c>
    </row>
    <row r="121" spans="1:2" x14ac:dyDescent="0.25">
      <c r="A121" s="1">
        <v>45558</v>
      </c>
      <c r="B121">
        <v>792.05</v>
      </c>
    </row>
    <row r="122" spans="1:2" x14ac:dyDescent="0.25">
      <c r="A122" s="1">
        <v>45555</v>
      </c>
      <c r="B122">
        <v>782.35</v>
      </c>
    </row>
    <row r="123" spans="1:2" x14ac:dyDescent="0.25">
      <c r="A123" s="1">
        <v>45554</v>
      </c>
      <c r="B123">
        <v>742.85</v>
      </c>
    </row>
    <row r="124" spans="1:2" x14ac:dyDescent="0.25">
      <c r="A124" s="1">
        <v>45553</v>
      </c>
      <c r="B124">
        <v>750.75</v>
      </c>
    </row>
    <row r="125" spans="1:2" x14ac:dyDescent="0.25">
      <c r="A125" s="1">
        <v>45552</v>
      </c>
      <c r="B125">
        <v>748.55</v>
      </c>
    </row>
    <row r="126" spans="1:2" x14ac:dyDescent="0.25">
      <c r="A126" s="1">
        <v>45551</v>
      </c>
      <c r="B126">
        <v>771.6</v>
      </c>
    </row>
    <row r="127" spans="1:2" x14ac:dyDescent="0.25">
      <c r="A127" s="1">
        <v>45548</v>
      </c>
      <c r="B127">
        <v>768.25</v>
      </c>
    </row>
    <row r="128" spans="1:2" x14ac:dyDescent="0.25">
      <c r="A128" s="1">
        <v>45547</v>
      </c>
      <c r="B128">
        <v>760.1</v>
      </c>
    </row>
    <row r="129" spans="1:2" x14ac:dyDescent="0.25">
      <c r="A129" s="1">
        <v>45546</v>
      </c>
      <c r="B129">
        <v>741.8</v>
      </c>
    </row>
    <row r="130" spans="1:2" x14ac:dyDescent="0.25">
      <c r="A130" s="1">
        <v>45545</v>
      </c>
      <c r="B130">
        <v>744.2</v>
      </c>
    </row>
    <row r="131" spans="1:2" x14ac:dyDescent="0.25">
      <c r="A131" s="1">
        <v>45544</v>
      </c>
      <c r="B131">
        <v>730.75</v>
      </c>
    </row>
    <row r="132" spans="1:2" x14ac:dyDescent="0.25">
      <c r="A132" s="1">
        <v>45541</v>
      </c>
      <c r="B132">
        <v>709.55</v>
      </c>
    </row>
    <row r="133" spans="1:2" x14ac:dyDescent="0.25">
      <c r="A133" s="1">
        <v>45540</v>
      </c>
      <c r="B133">
        <v>714.45</v>
      </c>
    </row>
    <row r="134" spans="1:2" x14ac:dyDescent="0.25">
      <c r="A134" s="1">
        <v>45539</v>
      </c>
      <c r="B134">
        <v>698.5</v>
      </c>
    </row>
    <row r="135" spans="1:2" x14ac:dyDescent="0.25">
      <c r="A135" s="1">
        <v>45538</v>
      </c>
      <c r="B135">
        <v>692.7</v>
      </c>
    </row>
    <row r="136" spans="1:2" x14ac:dyDescent="0.25">
      <c r="A136" s="1">
        <v>45537</v>
      </c>
      <c r="B136">
        <v>705.8</v>
      </c>
    </row>
    <row r="137" spans="1:2" x14ac:dyDescent="0.25">
      <c r="A137" s="1">
        <v>45534</v>
      </c>
      <c r="B137">
        <v>711.15</v>
      </c>
    </row>
    <row r="138" spans="1:2" x14ac:dyDescent="0.25">
      <c r="A138" s="1">
        <v>45533</v>
      </c>
      <c r="B138">
        <v>720.05</v>
      </c>
    </row>
    <row r="139" spans="1:2" x14ac:dyDescent="0.25">
      <c r="A139" s="1">
        <v>45532</v>
      </c>
      <c r="B139">
        <v>736.6</v>
      </c>
    </row>
    <row r="140" spans="1:2" x14ac:dyDescent="0.25">
      <c r="A140" s="1">
        <v>45531</v>
      </c>
      <c r="B140">
        <v>733.1</v>
      </c>
    </row>
    <row r="141" spans="1:2" x14ac:dyDescent="0.25">
      <c r="A141" s="1">
        <v>45530</v>
      </c>
      <c r="B141">
        <v>715.55</v>
      </c>
    </row>
    <row r="142" spans="1:2" x14ac:dyDescent="0.25">
      <c r="A142" s="1">
        <v>45527</v>
      </c>
      <c r="B142">
        <v>703.85</v>
      </c>
    </row>
    <row r="143" spans="1:2" x14ac:dyDescent="0.25">
      <c r="A143" s="1">
        <v>45526</v>
      </c>
      <c r="B143">
        <v>710.7</v>
      </c>
    </row>
    <row r="144" spans="1:2" x14ac:dyDescent="0.25">
      <c r="A144" s="1">
        <v>45525</v>
      </c>
      <c r="B144">
        <v>719.9</v>
      </c>
    </row>
    <row r="145" spans="1:2" x14ac:dyDescent="0.25">
      <c r="A145" s="1">
        <v>45524</v>
      </c>
      <c r="B145">
        <v>709.9</v>
      </c>
    </row>
    <row r="146" spans="1:2" x14ac:dyDescent="0.25">
      <c r="A146" s="1">
        <v>45523</v>
      </c>
      <c r="B146">
        <v>668.55</v>
      </c>
    </row>
    <row r="147" spans="1:2" x14ac:dyDescent="0.25">
      <c r="A147" s="1">
        <v>45520</v>
      </c>
      <c r="B147">
        <v>665.05</v>
      </c>
    </row>
    <row r="148" spans="1:2" x14ac:dyDescent="0.25">
      <c r="A148" s="1">
        <v>45518</v>
      </c>
      <c r="B148">
        <v>645.95000000000005</v>
      </c>
    </row>
    <row r="149" spans="1:2" x14ac:dyDescent="0.25">
      <c r="A149" s="1">
        <v>45517</v>
      </c>
      <c r="B149">
        <v>672.55</v>
      </c>
    </row>
    <row r="150" spans="1:2" x14ac:dyDescent="0.25">
      <c r="A150" s="1">
        <v>45516</v>
      </c>
      <c r="B150">
        <v>689.1</v>
      </c>
    </row>
    <row r="151" spans="1:2" x14ac:dyDescent="0.25">
      <c r="A151" s="1">
        <v>45513</v>
      </c>
      <c r="B151">
        <v>703</v>
      </c>
    </row>
    <row r="152" spans="1:2" x14ac:dyDescent="0.25">
      <c r="A152" s="1">
        <v>45512</v>
      </c>
      <c r="B152">
        <v>699.45</v>
      </c>
    </row>
    <row r="153" spans="1:2" x14ac:dyDescent="0.25">
      <c r="A153" s="1">
        <v>45511</v>
      </c>
      <c r="B153">
        <v>690</v>
      </c>
    </row>
    <row r="154" spans="1:2" x14ac:dyDescent="0.25">
      <c r="A154" s="1">
        <v>45510</v>
      </c>
      <c r="B154">
        <v>683.4</v>
      </c>
    </row>
    <row r="155" spans="1:2" x14ac:dyDescent="0.25">
      <c r="A155" s="1">
        <v>45509</v>
      </c>
      <c r="B155">
        <v>684.45</v>
      </c>
    </row>
    <row r="156" spans="1:2" x14ac:dyDescent="0.25">
      <c r="A156" s="1">
        <v>45506</v>
      </c>
      <c r="B156">
        <v>722.05</v>
      </c>
    </row>
    <row r="157" spans="1:2" x14ac:dyDescent="0.25">
      <c r="A157" s="1">
        <v>45505</v>
      </c>
      <c r="B157">
        <v>727.65</v>
      </c>
    </row>
    <row r="158" spans="1:2" x14ac:dyDescent="0.25">
      <c r="A158" s="1">
        <v>45504</v>
      </c>
      <c r="B158">
        <v>728</v>
      </c>
    </row>
    <row r="159" spans="1:2" x14ac:dyDescent="0.25">
      <c r="A159" s="1">
        <v>45503</v>
      </c>
      <c r="B159">
        <v>715.25</v>
      </c>
    </row>
    <row r="160" spans="1:2" x14ac:dyDescent="0.25">
      <c r="A160" s="1">
        <v>45502</v>
      </c>
      <c r="B160">
        <v>692.25</v>
      </c>
    </row>
    <row r="161" spans="1:2" x14ac:dyDescent="0.25">
      <c r="A161" s="1">
        <v>45499</v>
      </c>
      <c r="B161">
        <v>693.55</v>
      </c>
    </row>
    <row r="162" spans="1:2" x14ac:dyDescent="0.25">
      <c r="A162" s="1">
        <v>45498</v>
      </c>
      <c r="B162">
        <v>668.15</v>
      </c>
    </row>
    <row r="163" spans="1:2" x14ac:dyDescent="0.25">
      <c r="A163" s="1">
        <v>45497</v>
      </c>
      <c r="B163">
        <v>682.35</v>
      </c>
    </row>
    <row r="164" spans="1:2" x14ac:dyDescent="0.25">
      <c r="A164" s="1">
        <v>45496</v>
      </c>
      <c r="B164">
        <v>697.1</v>
      </c>
    </row>
    <row r="165" spans="1:2" x14ac:dyDescent="0.25">
      <c r="A165" s="1">
        <v>45495</v>
      </c>
      <c r="B165">
        <v>709.8</v>
      </c>
    </row>
    <row r="166" spans="1:2" x14ac:dyDescent="0.25">
      <c r="A166" s="1">
        <v>45492</v>
      </c>
      <c r="B166">
        <v>705</v>
      </c>
    </row>
    <row r="167" spans="1:2" x14ac:dyDescent="0.25">
      <c r="A167" s="1">
        <v>45491</v>
      </c>
      <c r="B167">
        <v>712.75</v>
      </c>
    </row>
    <row r="168" spans="1:2" x14ac:dyDescent="0.25">
      <c r="A168" s="1">
        <v>45489</v>
      </c>
      <c r="B168">
        <v>708.35</v>
      </c>
    </row>
    <row r="169" spans="1:2" x14ac:dyDescent="0.25">
      <c r="A169" s="1">
        <v>45488</v>
      </c>
      <c r="B169">
        <v>720.45</v>
      </c>
    </row>
    <row r="170" spans="1:2" x14ac:dyDescent="0.25">
      <c r="A170" s="1">
        <v>45485</v>
      </c>
      <c r="B170">
        <v>713.15</v>
      </c>
    </row>
    <row r="171" spans="1:2" x14ac:dyDescent="0.25">
      <c r="A171" s="1">
        <v>45484</v>
      </c>
      <c r="B171">
        <v>713</v>
      </c>
    </row>
    <row r="172" spans="1:2" x14ac:dyDescent="0.25">
      <c r="A172" s="1">
        <v>45483</v>
      </c>
      <c r="B172">
        <v>724.4</v>
      </c>
    </row>
    <row r="173" spans="1:2" x14ac:dyDescent="0.25">
      <c r="A173" s="1">
        <v>45482</v>
      </c>
      <c r="B173">
        <v>723</v>
      </c>
    </row>
    <row r="174" spans="1:2" x14ac:dyDescent="0.25">
      <c r="A174" s="1">
        <v>45481</v>
      </c>
      <c r="B174">
        <v>742.2</v>
      </c>
    </row>
    <row r="175" spans="1:2" x14ac:dyDescent="0.25">
      <c r="A175" s="1">
        <v>45478</v>
      </c>
      <c r="B175">
        <v>736.6</v>
      </c>
    </row>
    <row r="176" spans="1:2" x14ac:dyDescent="0.25">
      <c r="A176" s="1">
        <v>45477</v>
      </c>
      <c r="B176">
        <v>725.05</v>
      </c>
    </row>
    <row r="177" spans="1:2" x14ac:dyDescent="0.25">
      <c r="A177" s="1">
        <v>45476</v>
      </c>
      <c r="B177">
        <v>733.15</v>
      </c>
    </row>
    <row r="178" spans="1:2" x14ac:dyDescent="0.25">
      <c r="A178" s="1">
        <v>45475</v>
      </c>
      <c r="B178">
        <v>730.5</v>
      </c>
    </row>
    <row r="179" spans="1:2" x14ac:dyDescent="0.25">
      <c r="A179" s="1">
        <v>45474</v>
      </c>
      <c r="B179">
        <v>750.2</v>
      </c>
    </row>
    <row r="180" spans="1:2" x14ac:dyDescent="0.25">
      <c r="A180" s="1">
        <v>45471</v>
      </c>
      <c r="B180">
        <v>734.5</v>
      </c>
    </row>
    <row r="181" spans="1:2" x14ac:dyDescent="0.25">
      <c r="A181" s="1">
        <v>45470</v>
      </c>
      <c r="B181">
        <v>735.55</v>
      </c>
    </row>
    <row r="182" spans="1:2" x14ac:dyDescent="0.25">
      <c r="A182" s="1">
        <v>45469</v>
      </c>
      <c r="B182">
        <v>712.3</v>
      </c>
    </row>
    <row r="183" spans="1:2" x14ac:dyDescent="0.25">
      <c r="A183" s="1">
        <v>45468</v>
      </c>
      <c r="B183">
        <v>720.1</v>
      </c>
    </row>
    <row r="184" spans="1:2" x14ac:dyDescent="0.25">
      <c r="A184" s="1">
        <v>45467</v>
      </c>
      <c r="B184">
        <v>747.1</v>
      </c>
    </row>
    <row r="185" spans="1:2" x14ac:dyDescent="0.25">
      <c r="A185" s="1">
        <v>45464</v>
      </c>
      <c r="B185">
        <v>723.65</v>
      </c>
    </row>
    <row r="186" spans="1:2" x14ac:dyDescent="0.25">
      <c r="A186" s="1">
        <v>45463</v>
      </c>
      <c r="B186">
        <v>707.1</v>
      </c>
    </row>
    <row r="187" spans="1:2" x14ac:dyDescent="0.25">
      <c r="A187" s="1">
        <v>45462</v>
      </c>
      <c r="B187">
        <v>698.4</v>
      </c>
    </row>
    <row r="188" spans="1:2" x14ac:dyDescent="0.25">
      <c r="A188" s="1">
        <v>45461</v>
      </c>
      <c r="B188">
        <v>706.7</v>
      </c>
    </row>
    <row r="189" spans="1:2" x14ac:dyDescent="0.25">
      <c r="A189" s="1">
        <v>45457</v>
      </c>
      <c r="B189">
        <v>683.6</v>
      </c>
    </row>
    <row r="190" spans="1:2" x14ac:dyDescent="0.25">
      <c r="A190" s="1">
        <v>45456</v>
      </c>
      <c r="B190">
        <v>659.45</v>
      </c>
    </row>
    <row r="191" spans="1:2" x14ac:dyDescent="0.25">
      <c r="A191" s="1">
        <v>45455</v>
      </c>
      <c r="B191">
        <v>650.25</v>
      </c>
    </row>
    <row r="192" spans="1:2" x14ac:dyDescent="0.25">
      <c r="A192" s="1">
        <v>45454</v>
      </c>
      <c r="B192">
        <v>638</v>
      </c>
    </row>
    <row r="193" spans="1:2" x14ac:dyDescent="0.25">
      <c r="A193" s="1">
        <v>45453</v>
      </c>
      <c r="B193">
        <v>629.65</v>
      </c>
    </row>
    <row r="194" spans="1:2" x14ac:dyDescent="0.25">
      <c r="A194" s="1">
        <v>45450</v>
      </c>
      <c r="B194">
        <v>625.95000000000005</v>
      </c>
    </row>
    <row r="195" spans="1:2" x14ac:dyDescent="0.25">
      <c r="A195" s="1">
        <v>45449</v>
      </c>
      <c r="B195">
        <v>625.1</v>
      </c>
    </row>
    <row r="196" spans="1:2" x14ac:dyDescent="0.25">
      <c r="A196" s="1">
        <v>45448</v>
      </c>
      <c r="B196">
        <v>608.54999999999995</v>
      </c>
    </row>
    <row r="197" spans="1:2" x14ac:dyDescent="0.25">
      <c r="A197" s="1">
        <v>45447</v>
      </c>
      <c r="B197">
        <v>553.29999999999995</v>
      </c>
    </row>
    <row r="198" spans="1:2" x14ac:dyDescent="0.25">
      <c r="A198" s="1">
        <v>45446</v>
      </c>
      <c r="B198">
        <v>658.7</v>
      </c>
    </row>
    <row r="199" spans="1:2" x14ac:dyDescent="0.25">
      <c r="A199" s="1">
        <v>45443</v>
      </c>
      <c r="B199">
        <v>613</v>
      </c>
    </row>
    <row r="200" spans="1:2" x14ac:dyDescent="0.25">
      <c r="A200" s="1">
        <v>45442</v>
      </c>
      <c r="B200">
        <v>609</v>
      </c>
    </row>
    <row r="201" spans="1:2" x14ac:dyDescent="0.25">
      <c r="A201" s="1">
        <v>45441</v>
      </c>
      <c r="B201">
        <v>604.20000000000005</v>
      </c>
    </row>
    <row r="202" spans="1:2" x14ac:dyDescent="0.25">
      <c r="A202" s="1">
        <v>45440</v>
      </c>
      <c r="B202">
        <v>612.95000000000005</v>
      </c>
    </row>
    <row r="203" spans="1:2" x14ac:dyDescent="0.25">
      <c r="A203" s="1">
        <v>45439</v>
      </c>
      <c r="B203">
        <v>621.1</v>
      </c>
    </row>
    <row r="204" spans="1:2" x14ac:dyDescent="0.25">
      <c r="A204" s="1">
        <v>45436</v>
      </c>
      <c r="B204">
        <v>600.65</v>
      </c>
    </row>
    <row r="205" spans="1:2" x14ac:dyDescent="0.25">
      <c r="A205" s="1">
        <v>45435</v>
      </c>
      <c r="B205">
        <v>617.45000000000005</v>
      </c>
    </row>
    <row r="206" spans="1:2" x14ac:dyDescent="0.25">
      <c r="A206" s="1">
        <v>45434</v>
      </c>
      <c r="B206">
        <v>609.45000000000005</v>
      </c>
    </row>
    <row r="207" spans="1:2" x14ac:dyDescent="0.25">
      <c r="A207" s="1">
        <v>45433</v>
      </c>
      <c r="B207">
        <v>603.9</v>
      </c>
    </row>
    <row r="208" spans="1:2" x14ac:dyDescent="0.25">
      <c r="A208" s="1">
        <v>45430</v>
      </c>
      <c r="B208">
        <v>597.75</v>
      </c>
    </row>
    <row r="209" spans="1:2" x14ac:dyDescent="0.25">
      <c r="A209" s="1">
        <v>45429</v>
      </c>
      <c r="B209">
        <v>593.9</v>
      </c>
    </row>
    <row r="210" spans="1:2" x14ac:dyDescent="0.25">
      <c r="A210" s="1">
        <v>45428</v>
      </c>
      <c r="B210">
        <v>594.15</v>
      </c>
    </row>
    <row r="211" spans="1:2" x14ac:dyDescent="0.25">
      <c r="A211" s="1">
        <v>45427</v>
      </c>
      <c r="B211">
        <v>598.04999999999995</v>
      </c>
    </row>
    <row r="212" spans="1:2" x14ac:dyDescent="0.25">
      <c r="A212" s="1">
        <v>45426</v>
      </c>
      <c r="B212">
        <v>599.70000000000005</v>
      </c>
    </row>
    <row r="213" spans="1:2" x14ac:dyDescent="0.25">
      <c r="A213" s="1">
        <v>45425</v>
      </c>
      <c r="B213">
        <v>574.4</v>
      </c>
    </row>
    <row r="214" spans="1:2" x14ac:dyDescent="0.25">
      <c r="A214" s="1">
        <v>45422</v>
      </c>
      <c r="B214">
        <v>570.25</v>
      </c>
    </row>
    <row r="215" spans="1:2" x14ac:dyDescent="0.25">
      <c r="A215" s="1">
        <v>45421</v>
      </c>
      <c r="B215">
        <v>530.95000000000005</v>
      </c>
    </row>
    <row r="216" spans="1:2" x14ac:dyDescent="0.25">
      <c r="A216" s="1">
        <v>45420</v>
      </c>
      <c r="B216">
        <v>557.25</v>
      </c>
    </row>
    <row r="217" spans="1:2" x14ac:dyDescent="0.25">
      <c r="A217" s="1">
        <v>45419</v>
      </c>
      <c r="B217">
        <v>584.04999999999995</v>
      </c>
    </row>
    <row r="218" spans="1:2" x14ac:dyDescent="0.25">
      <c r="A218" s="1">
        <v>45418</v>
      </c>
      <c r="B218">
        <v>617.54999999999995</v>
      </c>
    </row>
    <row r="219" spans="1:2" x14ac:dyDescent="0.25">
      <c r="A219" s="1">
        <v>45415</v>
      </c>
      <c r="B219">
        <v>642.20000000000005</v>
      </c>
    </row>
    <row r="220" spans="1:2" x14ac:dyDescent="0.25">
      <c r="A220" s="1">
        <v>45414</v>
      </c>
      <c r="B220">
        <v>638.25</v>
      </c>
    </row>
    <row r="221" spans="1:2" x14ac:dyDescent="0.25">
      <c r="A221" s="1">
        <v>45412</v>
      </c>
      <c r="B221">
        <v>629.54999999999995</v>
      </c>
    </row>
    <row r="222" spans="1:2" x14ac:dyDescent="0.25">
      <c r="A222" s="1">
        <v>45411</v>
      </c>
      <c r="B222">
        <v>603.29999999999995</v>
      </c>
    </row>
    <row r="223" spans="1:2" x14ac:dyDescent="0.25">
      <c r="A223" s="1">
        <v>45408</v>
      </c>
      <c r="B223">
        <v>600.9</v>
      </c>
    </row>
    <row r="224" spans="1:2" x14ac:dyDescent="0.25">
      <c r="A224" s="1">
        <v>45407</v>
      </c>
      <c r="B224">
        <v>604.70000000000005</v>
      </c>
    </row>
    <row r="225" spans="1:2" x14ac:dyDescent="0.25">
      <c r="A225" s="1">
        <v>45406</v>
      </c>
      <c r="B225">
        <v>600.4</v>
      </c>
    </row>
    <row r="226" spans="1:2" x14ac:dyDescent="0.25">
      <c r="A226" s="1">
        <v>45405</v>
      </c>
      <c r="B226">
        <v>616.35</v>
      </c>
    </row>
    <row r="227" spans="1:2" x14ac:dyDescent="0.25">
      <c r="A227" s="1">
        <v>45404</v>
      </c>
      <c r="B227">
        <v>611.45000000000005</v>
      </c>
    </row>
    <row r="228" spans="1:2" x14ac:dyDescent="0.25">
      <c r="A228" s="1">
        <v>45401</v>
      </c>
      <c r="B228">
        <v>626.70000000000005</v>
      </c>
    </row>
    <row r="229" spans="1:2" x14ac:dyDescent="0.25">
      <c r="A229" s="1">
        <v>45400</v>
      </c>
      <c r="B229">
        <v>628.5</v>
      </c>
    </row>
    <row r="230" spans="1:2" x14ac:dyDescent="0.25">
      <c r="A230" s="1">
        <v>45398</v>
      </c>
      <c r="B230">
        <v>602.04999999999995</v>
      </c>
    </row>
    <row r="231" spans="1:2" x14ac:dyDescent="0.25">
      <c r="A231" s="1">
        <v>45397</v>
      </c>
      <c r="B231">
        <v>609.5</v>
      </c>
    </row>
    <row r="232" spans="1:2" x14ac:dyDescent="0.25">
      <c r="A232" s="1">
        <v>45394</v>
      </c>
      <c r="B232">
        <v>616.45000000000005</v>
      </c>
    </row>
    <row r="233" spans="1:2" x14ac:dyDescent="0.25">
      <c r="A233" s="1">
        <v>45392</v>
      </c>
      <c r="B233">
        <v>616.04999999999995</v>
      </c>
    </row>
    <row r="234" spans="1:2" x14ac:dyDescent="0.25">
      <c r="A234" s="1">
        <v>45391</v>
      </c>
      <c r="B234">
        <v>613.1</v>
      </c>
    </row>
    <row r="235" spans="1:2" x14ac:dyDescent="0.25">
      <c r="A235" s="1">
        <v>45390</v>
      </c>
      <c r="B235">
        <v>627.5</v>
      </c>
    </row>
    <row r="236" spans="1:2" x14ac:dyDescent="0.25">
      <c r="A236" s="1">
        <v>45387</v>
      </c>
      <c r="B236">
        <v>599.1</v>
      </c>
    </row>
    <row r="237" spans="1:2" x14ac:dyDescent="0.25">
      <c r="A237" s="1">
        <v>45386</v>
      </c>
      <c r="B237">
        <v>583.04999999999995</v>
      </c>
    </row>
    <row r="238" spans="1:2" x14ac:dyDescent="0.25">
      <c r="A238" s="1">
        <v>45385</v>
      </c>
      <c r="B238">
        <v>581.35</v>
      </c>
    </row>
    <row r="239" spans="1:2" x14ac:dyDescent="0.25">
      <c r="A239" s="1">
        <v>45384</v>
      </c>
      <c r="B239">
        <v>542.20000000000005</v>
      </c>
    </row>
    <row r="240" spans="1:2" x14ac:dyDescent="0.25">
      <c r="A240" s="1">
        <v>45383</v>
      </c>
      <c r="B240">
        <v>518.45000000000005</v>
      </c>
    </row>
    <row r="241" spans="1:2" x14ac:dyDescent="0.25">
      <c r="A241" s="1">
        <v>45379</v>
      </c>
      <c r="B241">
        <v>528.9</v>
      </c>
    </row>
    <row r="242" spans="1:2" x14ac:dyDescent="0.25">
      <c r="A242" s="1">
        <v>45378</v>
      </c>
      <c r="B242">
        <v>516.65</v>
      </c>
    </row>
    <row r="243" spans="1:2" x14ac:dyDescent="0.25">
      <c r="A243" s="1">
        <v>45377</v>
      </c>
      <c r="B243">
        <v>513.20000000000005</v>
      </c>
    </row>
    <row r="244" spans="1:2" x14ac:dyDescent="0.25">
      <c r="A244" s="1">
        <v>45373</v>
      </c>
      <c r="B244">
        <v>515.45000000000005</v>
      </c>
    </row>
    <row r="245" spans="1:2" x14ac:dyDescent="0.25">
      <c r="A245" s="1">
        <v>45372</v>
      </c>
      <c r="B245">
        <v>504.55</v>
      </c>
    </row>
    <row r="246" spans="1:2" x14ac:dyDescent="0.25">
      <c r="A246" s="1">
        <v>45371</v>
      </c>
      <c r="B246">
        <v>489.15</v>
      </c>
    </row>
    <row r="247" spans="1:2" x14ac:dyDescent="0.25">
      <c r="A247" s="1">
        <v>45370</v>
      </c>
      <c r="B247">
        <v>482.8</v>
      </c>
    </row>
    <row r="248" spans="1:2" x14ac:dyDescent="0.25">
      <c r="A248" s="1">
        <v>45369</v>
      </c>
      <c r="B248">
        <v>495.4</v>
      </c>
    </row>
  </sheetData>
  <mergeCells count="1">
    <mergeCell ref="E1:F1"/>
  </mergeCells>
  <conditionalFormatting sqref="F3:F20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B1:B104857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8"/>
  <sheetViews>
    <sheetView topLeftCell="A7" workbookViewId="0">
      <selection activeCell="H23" sqref="H23:H27"/>
    </sheetView>
  </sheetViews>
  <sheetFormatPr defaultRowHeight="15" x14ac:dyDescent="0.25"/>
  <cols>
    <col min="1" max="1" width="12" customWidth="1"/>
    <col min="2" max="2" width="15.7109375" customWidth="1"/>
    <col min="5" max="5" width="12" bestFit="1" customWidth="1"/>
    <col min="6" max="6" width="17.28515625" customWidth="1"/>
    <col min="7" max="7" width="16" bestFit="1" customWidth="1"/>
    <col min="8" max="26" width="8" bestFit="1" customWidth="1"/>
    <col min="27" max="27" width="9" bestFit="1" customWidth="1"/>
    <col min="28" max="30" width="8" bestFit="1" customWidth="1"/>
    <col min="31" max="31" width="9" bestFit="1" customWidth="1"/>
    <col min="32" max="32" width="8" bestFit="1" customWidth="1"/>
    <col min="33" max="33" width="9" bestFit="1" customWidth="1"/>
    <col min="34" max="44" width="8" bestFit="1" customWidth="1"/>
    <col min="45" max="45" width="9" bestFit="1" customWidth="1"/>
    <col min="46" max="58" width="8" bestFit="1" customWidth="1"/>
    <col min="59" max="59" width="11.28515625" bestFit="1" customWidth="1"/>
  </cols>
  <sheetData>
    <row r="1" spans="1:6" x14ac:dyDescent="0.25">
      <c r="A1" t="s">
        <v>0</v>
      </c>
      <c r="B1" t="s">
        <v>15</v>
      </c>
      <c r="E1" s="58" t="s">
        <v>40</v>
      </c>
      <c r="F1" s="58"/>
    </row>
    <row r="2" spans="1:6" x14ac:dyDescent="0.25">
      <c r="A2" s="1">
        <v>45729</v>
      </c>
      <c r="B2">
        <v>4303396</v>
      </c>
      <c r="E2" s="2" t="s">
        <v>2</v>
      </c>
      <c r="F2" s="3" t="s">
        <v>41</v>
      </c>
    </row>
    <row r="3" spans="1:6" x14ac:dyDescent="0.25">
      <c r="A3" s="1">
        <v>45728</v>
      </c>
      <c r="B3">
        <v>4974269</v>
      </c>
      <c r="E3" s="7">
        <v>45352</v>
      </c>
      <c r="F3" s="3">
        <v>2637304.375</v>
      </c>
    </row>
    <row r="4" spans="1:6" x14ac:dyDescent="0.25">
      <c r="A4" s="1">
        <v>45727</v>
      </c>
      <c r="B4">
        <v>6225817</v>
      </c>
      <c r="E4" s="7">
        <v>45383</v>
      </c>
      <c r="F4" s="8">
        <v>4788333.25</v>
      </c>
    </row>
    <row r="5" spans="1:6" x14ac:dyDescent="0.25">
      <c r="A5" s="1">
        <v>45726</v>
      </c>
      <c r="B5">
        <v>9854493</v>
      </c>
      <c r="E5" s="7">
        <v>45413</v>
      </c>
      <c r="F5" s="3">
        <v>7082898.2727272725</v>
      </c>
    </row>
    <row r="6" spans="1:6" x14ac:dyDescent="0.25">
      <c r="A6" s="1">
        <v>45723</v>
      </c>
      <c r="B6">
        <v>4329758</v>
      </c>
      <c r="E6" s="7">
        <v>45444</v>
      </c>
      <c r="F6" s="3">
        <v>4269067.4210526319</v>
      </c>
    </row>
    <row r="7" spans="1:6" x14ac:dyDescent="0.25">
      <c r="A7" s="1">
        <v>45722</v>
      </c>
      <c r="B7">
        <v>4847592</v>
      </c>
      <c r="E7" s="7">
        <v>45474</v>
      </c>
      <c r="F7" s="3">
        <v>2643279.1818181798</v>
      </c>
    </row>
    <row r="8" spans="1:6" x14ac:dyDescent="0.25">
      <c r="A8" s="1">
        <v>45721</v>
      </c>
      <c r="B8">
        <v>7368531</v>
      </c>
      <c r="E8" s="7">
        <v>45505</v>
      </c>
      <c r="F8" s="3">
        <v>2215317.7619047621</v>
      </c>
    </row>
    <row r="9" spans="1:6" x14ac:dyDescent="0.25">
      <c r="A9" s="1">
        <v>45720</v>
      </c>
      <c r="B9">
        <v>4501589</v>
      </c>
      <c r="E9" s="7">
        <v>45536</v>
      </c>
      <c r="F9" s="3">
        <v>3262889.6666666698</v>
      </c>
    </row>
    <row r="10" spans="1:6" x14ac:dyDescent="0.25">
      <c r="A10" s="1">
        <v>45719</v>
      </c>
      <c r="B10">
        <v>5530160</v>
      </c>
      <c r="E10" s="7">
        <v>45566</v>
      </c>
      <c r="F10" s="3">
        <v>2139249.0909090908</v>
      </c>
    </row>
    <row r="11" spans="1:6" x14ac:dyDescent="0.25">
      <c r="A11" s="1">
        <v>45716</v>
      </c>
      <c r="B11">
        <v>6930904</v>
      </c>
      <c r="E11" s="7">
        <v>45597</v>
      </c>
      <c r="F11" s="3">
        <v>3120537.8421052601</v>
      </c>
    </row>
    <row r="12" spans="1:6" x14ac:dyDescent="0.25">
      <c r="A12" s="1">
        <v>45715</v>
      </c>
      <c r="B12">
        <v>3135406</v>
      </c>
      <c r="E12" s="7">
        <v>45627</v>
      </c>
      <c r="F12" s="3">
        <v>3191871.7142857099</v>
      </c>
    </row>
    <row r="13" spans="1:6" x14ac:dyDescent="0.25">
      <c r="A13" s="1">
        <v>45713</v>
      </c>
      <c r="B13">
        <v>3336761</v>
      </c>
      <c r="E13" s="7">
        <v>45658</v>
      </c>
      <c r="F13" s="3">
        <v>4659195.1304347804</v>
      </c>
    </row>
    <row r="14" spans="1:6" x14ac:dyDescent="0.25">
      <c r="A14" s="1">
        <v>45712</v>
      </c>
      <c r="B14">
        <v>4578924</v>
      </c>
      <c r="E14" s="7">
        <v>45689</v>
      </c>
      <c r="F14" s="3">
        <v>6541046.6500000004</v>
      </c>
    </row>
    <row r="15" spans="1:6" x14ac:dyDescent="0.25">
      <c r="A15" s="1">
        <v>45709</v>
      </c>
      <c r="B15">
        <v>25750317</v>
      </c>
      <c r="E15" s="7">
        <v>45717</v>
      </c>
      <c r="F15" s="3">
        <v>5770622.777777778</v>
      </c>
    </row>
    <row r="16" spans="1:6" x14ac:dyDescent="0.25">
      <c r="A16" s="1">
        <v>45708</v>
      </c>
      <c r="B16">
        <v>7733476</v>
      </c>
      <c r="E16" s="7">
        <v>45748</v>
      </c>
      <c r="F16" s="3">
        <f>TREND($F$3:$F$15,$E$3:$E$15,E16:E20)</f>
        <v>4616762.075756222</v>
      </c>
    </row>
    <row r="17" spans="1:6" x14ac:dyDescent="0.25">
      <c r="A17" s="1">
        <v>45707</v>
      </c>
      <c r="B17">
        <v>4076153</v>
      </c>
      <c r="E17" s="7">
        <v>45778</v>
      </c>
      <c r="F17" s="3">
        <f t="shared" ref="F17:F19" si="0">TREND($F$3:$F$15,$E$3:$E$15,E17:E21)</f>
        <v>4700326.6126742363</v>
      </c>
    </row>
    <row r="18" spans="1:6" x14ac:dyDescent="0.25">
      <c r="A18" s="1">
        <v>45706</v>
      </c>
      <c r="B18">
        <v>4154074</v>
      </c>
      <c r="E18" s="7">
        <v>45809</v>
      </c>
      <c r="F18" s="3">
        <f t="shared" si="0"/>
        <v>4786676.6341561675</v>
      </c>
    </row>
    <row r="19" spans="1:6" x14ac:dyDescent="0.25">
      <c r="A19" s="1">
        <v>45705</v>
      </c>
      <c r="B19">
        <v>6897917</v>
      </c>
      <c r="E19" s="7">
        <v>45839</v>
      </c>
      <c r="F19" s="3">
        <f t="shared" si="0"/>
        <v>4870241.1710741818</v>
      </c>
    </row>
    <row r="20" spans="1:6" x14ac:dyDescent="0.25">
      <c r="A20" s="1">
        <v>45702</v>
      </c>
      <c r="B20">
        <v>3885358</v>
      </c>
      <c r="E20" s="7">
        <v>45870</v>
      </c>
      <c r="F20" s="3">
        <f>TREND($F$3:$F$15,$E$3:$E$15,E20:E24)</f>
        <v>4956591.1925561279</v>
      </c>
    </row>
    <row r="21" spans="1:6" x14ac:dyDescent="0.25">
      <c r="A21" s="1">
        <v>45701</v>
      </c>
      <c r="B21">
        <v>1560258</v>
      </c>
    </row>
    <row r="22" spans="1:6" x14ac:dyDescent="0.25">
      <c r="A22" s="1">
        <v>45700</v>
      </c>
      <c r="B22">
        <v>2782225</v>
      </c>
    </row>
    <row r="23" spans="1:6" x14ac:dyDescent="0.25">
      <c r="A23" s="1">
        <v>45699</v>
      </c>
      <c r="B23">
        <v>3213487</v>
      </c>
    </row>
    <row r="24" spans="1:6" x14ac:dyDescent="0.25">
      <c r="A24" s="1">
        <v>45698</v>
      </c>
      <c r="B24">
        <v>6658769</v>
      </c>
    </row>
    <row r="25" spans="1:6" x14ac:dyDescent="0.25">
      <c r="A25" s="1">
        <v>45695</v>
      </c>
      <c r="B25">
        <v>2431783</v>
      </c>
    </row>
    <row r="26" spans="1:6" x14ac:dyDescent="0.25">
      <c r="A26" s="1">
        <v>45694</v>
      </c>
      <c r="B26">
        <v>3540027</v>
      </c>
    </row>
    <row r="27" spans="1:6" x14ac:dyDescent="0.25">
      <c r="A27" s="1">
        <v>45693</v>
      </c>
      <c r="B27">
        <v>14443076</v>
      </c>
    </row>
    <row r="28" spans="1:6" x14ac:dyDescent="0.25">
      <c r="A28" s="1">
        <v>45692</v>
      </c>
      <c r="B28">
        <v>7217597</v>
      </c>
    </row>
    <row r="29" spans="1:6" x14ac:dyDescent="0.25">
      <c r="A29" s="1">
        <v>45691</v>
      </c>
      <c r="B29">
        <v>12724924</v>
      </c>
    </row>
    <row r="30" spans="1:6" x14ac:dyDescent="0.25">
      <c r="A30" s="1">
        <v>45689</v>
      </c>
      <c r="B30">
        <v>5769497</v>
      </c>
    </row>
    <row r="31" spans="1:6" x14ac:dyDescent="0.25">
      <c r="A31" s="1">
        <v>45688</v>
      </c>
      <c r="B31">
        <v>3358679</v>
      </c>
    </row>
    <row r="32" spans="1:6" x14ac:dyDescent="0.25">
      <c r="A32" s="1">
        <v>45687</v>
      </c>
      <c r="B32">
        <v>9565616</v>
      </c>
    </row>
    <row r="33" spans="1:2" x14ac:dyDescent="0.25">
      <c r="A33" s="1">
        <v>45686</v>
      </c>
      <c r="B33">
        <v>28908664</v>
      </c>
    </row>
    <row r="34" spans="1:2" x14ac:dyDescent="0.25">
      <c r="A34" s="1">
        <v>45685</v>
      </c>
      <c r="B34">
        <v>4851730</v>
      </c>
    </row>
    <row r="35" spans="1:2" x14ac:dyDescent="0.25">
      <c r="A35" s="1">
        <v>45684</v>
      </c>
      <c r="B35">
        <v>2452402</v>
      </c>
    </row>
    <row r="36" spans="1:2" x14ac:dyDescent="0.25">
      <c r="A36" s="1">
        <v>45681</v>
      </c>
      <c r="B36">
        <v>2108004</v>
      </c>
    </row>
    <row r="37" spans="1:2" x14ac:dyDescent="0.25">
      <c r="A37" s="1">
        <v>45680</v>
      </c>
      <c r="B37">
        <v>1716243</v>
      </c>
    </row>
    <row r="38" spans="1:2" x14ac:dyDescent="0.25">
      <c r="A38" s="1">
        <v>45679</v>
      </c>
      <c r="B38">
        <v>2240871</v>
      </c>
    </row>
    <row r="39" spans="1:2" x14ac:dyDescent="0.25">
      <c r="A39" s="1">
        <v>45678</v>
      </c>
      <c r="B39">
        <v>3125064</v>
      </c>
    </row>
    <row r="40" spans="1:2" x14ac:dyDescent="0.25">
      <c r="A40" s="1">
        <v>45677</v>
      </c>
      <c r="B40">
        <v>1556431</v>
      </c>
    </row>
    <row r="41" spans="1:2" x14ac:dyDescent="0.25">
      <c r="A41" s="1">
        <v>45674</v>
      </c>
      <c r="B41">
        <v>1431717</v>
      </c>
    </row>
    <row r="42" spans="1:2" x14ac:dyDescent="0.25">
      <c r="A42" s="1">
        <v>45673</v>
      </c>
      <c r="B42">
        <v>1375209</v>
      </c>
    </row>
    <row r="43" spans="1:2" x14ac:dyDescent="0.25">
      <c r="A43" s="1">
        <v>45672</v>
      </c>
      <c r="B43">
        <v>3204143</v>
      </c>
    </row>
    <row r="44" spans="1:2" x14ac:dyDescent="0.25">
      <c r="A44" s="1">
        <v>45671</v>
      </c>
      <c r="B44">
        <v>7595937</v>
      </c>
    </row>
    <row r="45" spans="1:2" x14ac:dyDescent="0.25">
      <c r="A45" s="1">
        <v>45670</v>
      </c>
      <c r="B45">
        <v>2130563</v>
      </c>
    </row>
    <row r="46" spans="1:2" x14ac:dyDescent="0.25">
      <c r="A46" s="1">
        <v>45667</v>
      </c>
      <c r="B46">
        <v>4671536</v>
      </c>
    </row>
    <row r="47" spans="1:2" x14ac:dyDescent="0.25">
      <c r="A47" s="1">
        <v>45666</v>
      </c>
      <c r="B47">
        <v>2418243</v>
      </c>
    </row>
    <row r="48" spans="1:2" x14ac:dyDescent="0.25">
      <c r="A48" s="1">
        <v>45665</v>
      </c>
      <c r="B48">
        <v>4473653</v>
      </c>
    </row>
    <row r="49" spans="1:2" x14ac:dyDescent="0.25">
      <c r="A49" s="1">
        <v>45664</v>
      </c>
      <c r="B49">
        <v>3408556</v>
      </c>
    </row>
    <row r="50" spans="1:2" x14ac:dyDescent="0.25">
      <c r="A50" s="1">
        <v>45663</v>
      </c>
      <c r="B50">
        <v>4443091</v>
      </c>
    </row>
    <row r="51" spans="1:2" x14ac:dyDescent="0.25">
      <c r="A51" s="1">
        <v>45660</v>
      </c>
      <c r="B51">
        <v>2341500</v>
      </c>
    </row>
    <row r="52" spans="1:2" x14ac:dyDescent="0.25">
      <c r="A52" s="1">
        <v>45659</v>
      </c>
      <c r="B52">
        <v>6416405</v>
      </c>
    </row>
    <row r="53" spans="1:2" x14ac:dyDescent="0.25">
      <c r="A53" s="1">
        <v>45658</v>
      </c>
      <c r="B53">
        <v>3367231</v>
      </c>
    </row>
    <row r="54" spans="1:2" x14ac:dyDescent="0.25">
      <c r="A54" s="1">
        <v>45657</v>
      </c>
      <c r="B54">
        <v>2131573</v>
      </c>
    </row>
    <row r="55" spans="1:2" x14ac:dyDescent="0.25">
      <c r="A55" s="1">
        <v>45656</v>
      </c>
      <c r="B55">
        <v>20785156</v>
      </c>
    </row>
    <row r="56" spans="1:2" x14ac:dyDescent="0.25">
      <c r="A56" s="1">
        <v>45653</v>
      </c>
      <c r="B56">
        <v>2088822</v>
      </c>
    </row>
    <row r="57" spans="1:2" x14ac:dyDescent="0.25">
      <c r="A57" s="1">
        <v>45652</v>
      </c>
      <c r="B57">
        <v>1787870</v>
      </c>
    </row>
    <row r="58" spans="1:2" x14ac:dyDescent="0.25">
      <c r="A58" s="1">
        <v>45650</v>
      </c>
      <c r="B58">
        <v>1920120</v>
      </c>
    </row>
    <row r="59" spans="1:2" x14ac:dyDescent="0.25">
      <c r="A59" s="1">
        <v>45649</v>
      </c>
      <c r="B59">
        <v>1893360</v>
      </c>
    </row>
    <row r="60" spans="1:2" x14ac:dyDescent="0.25">
      <c r="A60" s="1">
        <v>45646</v>
      </c>
      <c r="B60">
        <v>1314435</v>
      </c>
    </row>
    <row r="61" spans="1:2" x14ac:dyDescent="0.25">
      <c r="A61" s="1">
        <v>45645</v>
      </c>
      <c r="B61">
        <v>1304358</v>
      </c>
    </row>
    <row r="62" spans="1:2" x14ac:dyDescent="0.25">
      <c r="A62" s="1">
        <v>45644</v>
      </c>
      <c r="B62">
        <v>3218408</v>
      </c>
    </row>
    <row r="63" spans="1:2" x14ac:dyDescent="0.25">
      <c r="A63" s="1">
        <v>45643</v>
      </c>
      <c r="B63">
        <v>1393661</v>
      </c>
    </row>
    <row r="64" spans="1:2" x14ac:dyDescent="0.25">
      <c r="A64" s="1">
        <v>45642</v>
      </c>
      <c r="B64">
        <v>3476918</v>
      </c>
    </row>
    <row r="65" spans="1:2" x14ac:dyDescent="0.25">
      <c r="A65" s="1">
        <v>45639</v>
      </c>
      <c r="B65">
        <v>1909847</v>
      </c>
    </row>
    <row r="66" spans="1:2" x14ac:dyDescent="0.25">
      <c r="A66" s="1">
        <v>45638</v>
      </c>
      <c r="B66">
        <v>2023609</v>
      </c>
    </row>
    <row r="67" spans="1:2" x14ac:dyDescent="0.25">
      <c r="A67" s="1">
        <v>45637</v>
      </c>
      <c r="B67">
        <v>2088984</v>
      </c>
    </row>
    <row r="68" spans="1:2" x14ac:dyDescent="0.25">
      <c r="A68" s="1">
        <v>45636</v>
      </c>
      <c r="B68">
        <v>1923930</v>
      </c>
    </row>
    <row r="69" spans="1:2" x14ac:dyDescent="0.25">
      <c r="A69" s="1">
        <v>45635</v>
      </c>
      <c r="B69">
        <v>3433293</v>
      </c>
    </row>
    <row r="70" spans="1:2" x14ac:dyDescent="0.25">
      <c r="A70" s="1">
        <v>45632</v>
      </c>
      <c r="B70">
        <v>3294934</v>
      </c>
    </row>
    <row r="71" spans="1:2" x14ac:dyDescent="0.25">
      <c r="A71" s="1">
        <v>45631</v>
      </c>
      <c r="B71">
        <v>4523984</v>
      </c>
    </row>
    <row r="72" spans="1:2" x14ac:dyDescent="0.25">
      <c r="A72" s="1">
        <v>45630</v>
      </c>
      <c r="B72">
        <v>2887694</v>
      </c>
    </row>
    <row r="73" spans="1:2" x14ac:dyDescent="0.25">
      <c r="A73" s="1">
        <v>45629</v>
      </c>
      <c r="B73">
        <v>1804001</v>
      </c>
    </row>
    <row r="74" spans="1:2" x14ac:dyDescent="0.25">
      <c r="A74" s="1">
        <v>45628</v>
      </c>
      <c r="B74">
        <v>1824349</v>
      </c>
    </row>
    <row r="75" spans="1:2" x14ac:dyDescent="0.25">
      <c r="A75" s="1">
        <v>45625</v>
      </c>
      <c r="B75">
        <v>2099488</v>
      </c>
    </row>
    <row r="76" spans="1:2" x14ac:dyDescent="0.25">
      <c r="A76" s="1">
        <v>45624</v>
      </c>
      <c r="B76">
        <v>1415045</v>
      </c>
    </row>
    <row r="77" spans="1:2" x14ac:dyDescent="0.25">
      <c r="A77" s="1">
        <v>45623</v>
      </c>
      <c r="B77">
        <v>2014123</v>
      </c>
    </row>
    <row r="78" spans="1:2" x14ac:dyDescent="0.25">
      <c r="A78" s="1">
        <v>45622</v>
      </c>
      <c r="B78">
        <v>1918499</v>
      </c>
    </row>
    <row r="79" spans="1:2" x14ac:dyDescent="0.25">
      <c r="A79" s="1">
        <v>45621</v>
      </c>
      <c r="B79">
        <v>13593681</v>
      </c>
    </row>
    <row r="80" spans="1:2" x14ac:dyDescent="0.25">
      <c r="A80" s="1">
        <v>45618</v>
      </c>
      <c r="B80">
        <v>1439252</v>
      </c>
    </row>
    <row r="81" spans="1:2" x14ac:dyDescent="0.25">
      <c r="A81" s="1">
        <v>45617</v>
      </c>
      <c r="B81">
        <v>1946451</v>
      </c>
    </row>
    <row r="82" spans="1:2" x14ac:dyDescent="0.25">
      <c r="A82" s="1">
        <v>45615</v>
      </c>
      <c r="B82">
        <v>1355756</v>
      </c>
    </row>
    <row r="83" spans="1:2" x14ac:dyDescent="0.25">
      <c r="A83" s="1">
        <v>45614</v>
      </c>
      <c r="B83">
        <v>2123986</v>
      </c>
    </row>
    <row r="84" spans="1:2" x14ac:dyDescent="0.25">
      <c r="A84" s="1">
        <v>45610</v>
      </c>
      <c r="B84">
        <v>2339209</v>
      </c>
    </row>
    <row r="85" spans="1:2" x14ac:dyDescent="0.25">
      <c r="A85" s="1">
        <v>45609</v>
      </c>
      <c r="B85">
        <v>5348473</v>
      </c>
    </row>
    <row r="86" spans="1:2" x14ac:dyDescent="0.25">
      <c r="A86" s="1">
        <v>45608</v>
      </c>
      <c r="B86">
        <v>5503743</v>
      </c>
    </row>
    <row r="87" spans="1:2" x14ac:dyDescent="0.25">
      <c r="A87" s="1">
        <v>45607</v>
      </c>
      <c r="B87">
        <v>5360345</v>
      </c>
    </row>
    <row r="88" spans="1:2" x14ac:dyDescent="0.25">
      <c r="A88" s="1">
        <v>45604</v>
      </c>
      <c r="B88">
        <v>2004021</v>
      </c>
    </row>
    <row r="89" spans="1:2" x14ac:dyDescent="0.25">
      <c r="A89" s="1">
        <v>45603</v>
      </c>
      <c r="B89">
        <v>5700061</v>
      </c>
    </row>
    <row r="90" spans="1:2" x14ac:dyDescent="0.25">
      <c r="A90" s="1">
        <v>45602</v>
      </c>
      <c r="B90">
        <v>2382791</v>
      </c>
    </row>
    <row r="91" spans="1:2" x14ac:dyDescent="0.25">
      <c r="A91" s="1">
        <v>45601</v>
      </c>
      <c r="B91">
        <v>1255375</v>
      </c>
    </row>
    <row r="92" spans="1:2" x14ac:dyDescent="0.25">
      <c r="A92" s="1">
        <v>45600</v>
      </c>
      <c r="B92">
        <v>1278278</v>
      </c>
    </row>
    <row r="93" spans="1:2" x14ac:dyDescent="0.25">
      <c r="A93" s="1">
        <v>45597</v>
      </c>
      <c r="B93">
        <v>211642</v>
      </c>
    </row>
    <row r="94" spans="1:2" x14ac:dyDescent="0.25">
      <c r="A94" s="1">
        <v>45596</v>
      </c>
      <c r="B94">
        <v>1159460</v>
      </c>
    </row>
    <row r="95" spans="1:2" x14ac:dyDescent="0.25">
      <c r="A95" s="1">
        <v>45595</v>
      </c>
      <c r="B95">
        <v>1295866</v>
      </c>
    </row>
    <row r="96" spans="1:2" x14ac:dyDescent="0.25">
      <c r="A96" s="1">
        <v>45594</v>
      </c>
      <c r="B96">
        <v>5537844</v>
      </c>
    </row>
    <row r="97" spans="1:2" x14ac:dyDescent="0.25">
      <c r="A97" s="1">
        <v>45593</v>
      </c>
      <c r="B97">
        <v>1521902</v>
      </c>
    </row>
    <row r="98" spans="1:2" x14ac:dyDescent="0.25">
      <c r="A98" s="1">
        <v>45590</v>
      </c>
      <c r="B98">
        <v>2918783</v>
      </c>
    </row>
    <row r="99" spans="1:2" x14ac:dyDescent="0.25">
      <c r="A99" s="1">
        <v>45589</v>
      </c>
      <c r="B99">
        <v>1271312</v>
      </c>
    </row>
    <row r="100" spans="1:2" x14ac:dyDescent="0.25">
      <c r="A100" s="1">
        <v>45588</v>
      </c>
      <c r="B100">
        <v>4378251</v>
      </c>
    </row>
    <row r="101" spans="1:2" x14ac:dyDescent="0.25">
      <c r="A101" s="1">
        <v>45587</v>
      </c>
      <c r="B101">
        <v>1265025</v>
      </c>
    </row>
    <row r="102" spans="1:2" x14ac:dyDescent="0.25">
      <c r="A102" s="1">
        <v>45586</v>
      </c>
      <c r="B102">
        <v>1609539</v>
      </c>
    </row>
    <row r="103" spans="1:2" x14ac:dyDescent="0.25">
      <c r="A103" s="1">
        <v>45583</v>
      </c>
      <c r="B103">
        <v>2358804</v>
      </c>
    </row>
    <row r="104" spans="1:2" x14ac:dyDescent="0.25">
      <c r="A104" s="1">
        <v>45582</v>
      </c>
      <c r="B104">
        <v>1324100</v>
      </c>
    </row>
    <row r="105" spans="1:2" x14ac:dyDescent="0.25">
      <c r="A105" s="1">
        <v>45581</v>
      </c>
      <c r="B105">
        <v>1161073</v>
      </c>
    </row>
    <row r="106" spans="1:2" x14ac:dyDescent="0.25">
      <c r="A106" s="1">
        <v>45580</v>
      </c>
      <c r="B106">
        <v>1283068</v>
      </c>
    </row>
    <row r="107" spans="1:2" x14ac:dyDescent="0.25">
      <c r="A107" s="1">
        <v>45579</v>
      </c>
      <c r="B107">
        <v>1716685</v>
      </c>
    </row>
    <row r="108" spans="1:2" x14ac:dyDescent="0.25">
      <c r="A108" s="1">
        <v>45576</v>
      </c>
      <c r="B108">
        <v>1686125</v>
      </c>
    </row>
    <row r="109" spans="1:2" x14ac:dyDescent="0.25">
      <c r="A109" s="1">
        <v>45575</v>
      </c>
      <c r="B109">
        <v>1171351</v>
      </c>
    </row>
    <row r="110" spans="1:2" x14ac:dyDescent="0.25">
      <c r="A110" s="1">
        <v>45574</v>
      </c>
      <c r="B110">
        <v>2063258</v>
      </c>
    </row>
    <row r="111" spans="1:2" x14ac:dyDescent="0.25">
      <c r="A111" s="1">
        <v>45573</v>
      </c>
      <c r="B111">
        <v>3918488</v>
      </c>
    </row>
    <row r="112" spans="1:2" x14ac:dyDescent="0.25">
      <c r="A112" s="1">
        <v>45572</v>
      </c>
      <c r="B112">
        <v>3050665</v>
      </c>
    </row>
    <row r="113" spans="1:2" x14ac:dyDescent="0.25">
      <c r="A113" s="1">
        <v>45569</v>
      </c>
      <c r="B113">
        <v>1876259</v>
      </c>
    </row>
    <row r="114" spans="1:2" x14ac:dyDescent="0.25">
      <c r="A114" s="1">
        <v>45568</v>
      </c>
      <c r="B114">
        <v>2132369</v>
      </c>
    </row>
    <row r="115" spans="1:2" x14ac:dyDescent="0.25">
      <c r="A115" s="1">
        <v>45566</v>
      </c>
      <c r="B115">
        <v>2363253</v>
      </c>
    </row>
    <row r="116" spans="1:2" x14ac:dyDescent="0.25">
      <c r="A116" s="1">
        <v>45565</v>
      </c>
      <c r="B116">
        <v>2831175</v>
      </c>
    </row>
    <row r="117" spans="1:2" x14ac:dyDescent="0.25">
      <c r="A117" s="1">
        <v>45562</v>
      </c>
      <c r="B117">
        <v>9221236</v>
      </c>
    </row>
    <row r="118" spans="1:2" x14ac:dyDescent="0.25">
      <c r="A118" s="1">
        <v>45561</v>
      </c>
      <c r="B118">
        <v>1927234</v>
      </c>
    </row>
    <row r="119" spans="1:2" x14ac:dyDescent="0.25">
      <c r="A119" s="1">
        <v>45560</v>
      </c>
      <c r="B119">
        <v>1029003</v>
      </c>
    </row>
    <row r="120" spans="1:2" x14ac:dyDescent="0.25">
      <c r="A120" s="1">
        <v>45559</v>
      </c>
      <c r="B120">
        <v>2827447</v>
      </c>
    </row>
    <row r="121" spans="1:2" x14ac:dyDescent="0.25">
      <c r="A121" s="1">
        <v>45558</v>
      </c>
      <c r="B121">
        <v>2682083</v>
      </c>
    </row>
    <row r="122" spans="1:2" x14ac:dyDescent="0.25">
      <c r="A122" s="1">
        <v>45555</v>
      </c>
      <c r="B122">
        <v>6369882</v>
      </c>
    </row>
    <row r="123" spans="1:2" x14ac:dyDescent="0.25">
      <c r="A123" s="1">
        <v>45554</v>
      </c>
      <c r="B123">
        <v>1632199</v>
      </c>
    </row>
    <row r="124" spans="1:2" x14ac:dyDescent="0.25">
      <c r="A124" s="1">
        <v>45553</v>
      </c>
      <c r="B124">
        <v>2056555</v>
      </c>
    </row>
    <row r="125" spans="1:2" x14ac:dyDescent="0.25">
      <c r="A125" s="1">
        <v>45552</v>
      </c>
      <c r="B125">
        <v>4098556</v>
      </c>
    </row>
    <row r="126" spans="1:2" x14ac:dyDescent="0.25">
      <c r="A126" s="1">
        <v>45551</v>
      </c>
      <c r="B126">
        <v>2569640</v>
      </c>
    </row>
    <row r="127" spans="1:2" x14ac:dyDescent="0.25">
      <c r="A127" s="1">
        <v>45548</v>
      </c>
      <c r="B127">
        <v>2841640</v>
      </c>
    </row>
    <row r="128" spans="1:2" x14ac:dyDescent="0.25">
      <c r="A128" s="1">
        <v>45547</v>
      </c>
      <c r="B128">
        <v>2804171</v>
      </c>
    </row>
    <row r="129" spans="1:2" x14ac:dyDescent="0.25">
      <c r="A129" s="1">
        <v>45546</v>
      </c>
      <c r="B129">
        <v>4340246</v>
      </c>
    </row>
    <row r="130" spans="1:2" x14ac:dyDescent="0.25">
      <c r="A130" s="1">
        <v>45545</v>
      </c>
      <c r="B130">
        <v>2736107</v>
      </c>
    </row>
    <row r="131" spans="1:2" x14ac:dyDescent="0.25">
      <c r="A131" s="1">
        <v>45544</v>
      </c>
      <c r="B131">
        <v>6468992</v>
      </c>
    </row>
    <row r="132" spans="1:2" x14ac:dyDescent="0.25">
      <c r="A132" s="1">
        <v>45541</v>
      </c>
      <c r="B132">
        <v>1779893</v>
      </c>
    </row>
    <row r="133" spans="1:2" x14ac:dyDescent="0.25">
      <c r="A133" s="1">
        <v>45540</v>
      </c>
      <c r="B133">
        <v>3952565</v>
      </c>
    </row>
    <row r="134" spans="1:2" x14ac:dyDescent="0.25">
      <c r="A134" s="1">
        <v>45539</v>
      </c>
      <c r="B134">
        <v>2969254</v>
      </c>
    </row>
    <row r="135" spans="1:2" x14ac:dyDescent="0.25">
      <c r="A135" s="1">
        <v>45538</v>
      </c>
      <c r="B135">
        <v>1737165</v>
      </c>
    </row>
    <row r="136" spans="1:2" x14ac:dyDescent="0.25">
      <c r="A136" s="1">
        <v>45537</v>
      </c>
      <c r="B136">
        <v>1645640</v>
      </c>
    </row>
    <row r="137" spans="1:2" x14ac:dyDescent="0.25">
      <c r="A137" s="1">
        <v>45534</v>
      </c>
      <c r="B137">
        <v>2488658</v>
      </c>
    </row>
    <row r="138" spans="1:2" x14ac:dyDescent="0.25">
      <c r="A138" s="1">
        <v>45533</v>
      </c>
      <c r="B138">
        <v>2918379</v>
      </c>
    </row>
    <row r="139" spans="1:2" x14ac:dyDescent="0.25">
      <c r="A139" s="1">
        <v>45532</v>
      </c>
      <c r="B139">
        <v>1830363</v>
      </c>
    </row>
    <row r="140" spans="1:2" x14ac:dyDescent="0.25">
      <c r="A140" s="1">
        <v>45531</v>
      </c>
      <c r="B140">
        <v>2632192</v>
      </c>
    </row>
    <row r="141" spans="1:2" x14ac:dyDescent="0.25">
      <c r="A141" s="1">
        <v>45530</v>
      </c>
      <c r="B141">
        <v>1630347</v>
      </c>
    </row>
    <row r="142" spans="1:2" x14ac:dyDescent="0.25">
      <c r="A142" s="1">
        <v>45527</v>
      </c>
      <c r="B142">
        <v>1374459</v>
      </c>
    </row>
    <row r="143" spans="1:2" x14ac:dyDescent="0.25">
      <c r="A143" s="1">
        <v>45526</v>
      </c>
      <c r="B143">
        <v>1142599</v>
      </c>
    </row>
    <row r="144" spans="1:2" x14ac:dyDescent="0.25">
      <c r="A144" s="1">
        <v>45525</v>
      </c>
      <c r="B144">
        <v>1985541</v>
      </c>
    </row>
    <row r="145" spans="1:2" x14ac:dyDescent="0.25">
      <c r="A145" s="1">
        <v>45524</v>
      </c>
      <c r="B145">
        <v>3749595</v>
      </c>
    </row>
    <row r="146" spans="1:2" x14ac:dyDescent="0.25">
      <c r="A146" s="1">
        <v>45523</v>
      </c>
      <c r="B146">
        <v>1292127</v>
      </c>
    </row>
    <row r="147" spans="1:2" x14ac:dyDescent="0.25">
      <c r="A147" s="1">
        <v>45520</v>
      </c>
      <c r="B147">
        <v>1244705</v>
      </c>
    </row>
    <row r="148" spans="1:2" x14ac:dyDescent="0.25">
      <c r="A148" s="1">
        <v>45518</v>
      </c>
      <c r="B148">
        <v>2440039</v>
      </c>
    </row>
    <row r="149" spans="1:2" x14ac:dyDescent="0.25">
      <c r="A149" s="1">
        <v>45517</v>
      </c>
      <c r="B149">
        <v>1768877</v>
      </c>
    </row>
    <row r="150" spans="1:2" x14ac:dyDescent="0.25">
      <c r="A150" s="1">
        <v>45516</v>
      </c>
      <c r="B150">
        <v>2143235</v>
      </c>
    </row>
    <row r="151" spans="1:2" x14ac:dyDescent="0.25">
      <c r="A151" s="1">
        <v>45513</v>
      </c>
      <c r="B151">
        <v>1777449</v>
      </c>
    </row>
    <row r="152" spans="1:2" x14ac:dyDescent="0.25">
      <c r="A152" s="1">
        <v>45512</v>
      </c>
      <c r="B152">
        <v>2822564</v>
      </c>
    </row>
    <row r="153" spans="1:2" x14ac:dyDescent="0.25">
      <c r="A153" s="1">
        <v>45511</v>
      </c>
      <c r="B153">
        <v>2419831</v>
      </c>
    </row>
    <row r="154" spans="1:2" x14ac:dyDescent="0.25">
      <c r="A154" s="1">
        <v>45510</v>
      </c>
      <c r="B154">
        <v>2635441</v>
      </c>
    </row>
    <row r="155" spans="1:2" x14ac:dyDescent="0.25">
      <c r="A155" s="1">
        <v>45509</v>
      </c>
      <c r="B155">
        <v>2592232</v>
      </c>
    </row>
    <row r="156" spans="1:2" x14ac:dyDescent="0.25">
      <c r="A156" s="1">
        <v>45506</v>
      </c>
      <c r="B156">
        <v>1620560</v>
      </c>
    </row>
    <row r="157" spans="1:2" x14ac:dyDescent="0.25">
      <c r="A157" s="1">
        <v>45505</v>
      </c>
      <c r="B157">
        <v>4012480</v>
      </c>
    </row>
    <row r="158" spans="1:2" x14ac:dyDescent="0.25">
      <c r="A158" s="1">
        <v>45504</v>
      </c>
      <c r="B158">
        <v>2972729</v>
      </c>
    </row>
    <row r="159" spans="1:2" x14ac:dyDescent="0.25">
      <c r="A159" s="1">
        <v>45503</v>
      </c>
      <c r="B159">
        <v>5078790</v>
      </c>
    </row>
    <row r="160" spans="1:2" x14ac:dyDescent="0.25">
      <c r="A160" s="1">
        <v>45502</v>
      </c>
      <c r="B160">
        <v>3882488</v>
      </c>
    </row>
    <row r="161" spans="1:2" x14ac:dyDescent="0.25">
      <c r="A161" s="1">
        <v>45499</v>
      </c>
      <c r="B161">
        <v>3724008</v>
      </c>
    </row>
    <row r="162" spans="1:2" x14ac:dyDescent="0.25">
      <c r="A162" s="1">
        <v>45498</v>
      </c>
      <c r="B162">
        <v>3964959</v>
      </c>
    </row>
    <row r="163" spans="1:2" x14ac:dyDescent="0.25">
      <c r="A163" s="1">
        <v>45497</v>
      </c>
      <c r="B163">
        <v>1984059</v>
      </c>
    </row>
    <row r="164" spans="1:2" x14ac:dyDescent="0.25">
      <c r="A164" s="1">
        <v>45496</v>
      </c>
      <c r="B164">
        <v>4066282</v>
      </c>
    </row>
    <row r="165" spans="1:2" x14ac:dyDescent="0.25">
      <c r="A165" s="1">
        <v>45495</v>
      </c>
      <c r="B165">
        <v>3969726</v>
      </c>
    </row>
    <row r="166" spans="1:2" x14ac:dyDescent="0.25">
      <c r="A166" s="1">
        <v>45492</v>
      </c>
      <c r="B166">
        <v>2884304</v>
      </c>
    </row>
    <row r="167" spans="1:2" x14ac:dyDescent="0.25">
      <c r="A167" s="1">
        <v>45491</v>
      </c>
      <c r="B167">
        <v>2792221</v>
      </c>
    </row>
    <row r="168" spans="1:2" x14ac:dyDescent="0.25">
      <c r="A168" s="1">
        <v>45489</v>
      </c>
      <c r="B168">
        <v>2140798</v>
      </c>
    </row>
    <row r="169" spans="1:2" x14ac:dyDescent="0.25">
      <c r="A169" s="1">
        <v>45488</v>
      </c>
      <c r="B169">
        <v>1560037</v>
      </c>
    </row>
    <row r="170" spans="1:2" x14ac:dyDescent="0.25">
      <c r="A170" s="1">
        <v>45485</v>
      </c>
      <c r="B170">
        <v>1542953</v>
      </c>
    </row>
    <row r="171" spans="1:2" x14ac:dyDescent="0.25">
      <c r="A171" s="1">
        <v>45484</v>
      </c>
      <c r="B171">
        <v>2727483</v>
      </c>
    </row>
    <row r="172" spans="1:2" x14ac:dyDescent="0.25">
      <c r="A172" s="1">
        <v>45483</v>
      </c>
      <c r="B172">
        <v>1544967</v>
      </c>
    </row>
    <row r="173" spans="1:2" x14ac:dyDescent="0.25">
      <c r="A173" s="1">
        <v>45482</v>
      </c>
      <c r="B173">
        <v>1464545</v>
      </c>
    </row>
    <row r="174" spans="1:2" x14ac:dyDescent="0.25">
      <c r="A174" s="1">
        <v>45481</v>
      </c>
      <c r="B174">
        <v>904143</v>
      </c>
    </row>
    <row r="175" spans="1:2" x14ac:dyDescent="0.25">
      <c r="A175" s="1">
        <v>45478</v>
      </c>
      <c r="B175">
        <v>2439370</v>
      </c>
    </row>
    <row r="176" spans="1:2" x14ac:dyDescent="0.25">
      <c r="A176" s="1">
        <v>45477</v>
      </c>
      <c r="B176">
        <v>1864598</v>
      </c>
    </row>
    <row r="177" spans="1:2" x14ac:dyDescent="0.25">
      <c r="A177" s="1">
        <v>45476</v>
      </c>
      <c r="B177">
        <v>1748858</v>
      </c>
    </row>
    <row r="178" spans="1:2" x14ac:dyDescent="0.25">
      <c r="A178" s="1">
        <v>45475</v>
      </c>
      <c r="B178">
        <v>2628190</v>
      </c>
    </row>
    <row r="179" spans="1:2" x14ac:dyDescent="0.25">
      <c r="A179" s="1">
        <v>45474</v>
      </c>
      <c r="B179">
        <v>2266634</v>
      </c>
    </row>
    <row r="180" spans="1:2" x14ac:dyDescent="0.25">
      <c r="A180" s="1">
        <v>45471</v>
      </c>
      <c r="B180">
        <v>1977411</v>
      </c>
    </row>
    <row r="181" spans="1:2" x14ac:dyDescent="0.25">
      <c r="A181" s="1">
        <v>45470</v>
      </c>
      <c r="B181">
        <v>5922164</v>
      </c>
    </row>
    <row r="182" spans="1:2" x14ac:dyDescent="0.25">
      <c r="A182" s="1">
        <v>45469</v>
      </c>
      <c r="B182">
        <v>2418464</v>
      </c>
    </row>
    <row r="183" spans="1:2" x14ac:dyDescent="0.25">
      <c r="A183" s="1">
        <v>45468</v>
      </c>
      <c r="B183">
        <v>3018884</v>
      </c>
    </row>
    <row r="184" spans="1:2" x14ac:dyDescent="0.25">
      <c r="A184" s="1">
        <v>45467</v>
      </c>
      <c r="B184">
        <v>4406730</v>
      </c>
    </row>
    <row r="185" spans="1:2" x14ac:dyDescent="0.25">
      <c r="A185" s="1">
        <v>45464</v>
      </c>
      <c r="B185">
        <v>8848978</v>
      </c>
    </row>
    <row r="186" spans="1:2" x14ac:dyDescent="0.25">
      <c r="A186" s="1">
        <v>45463</v>
      </c>
      <c r="B186">
        <v>2111730</v>
      </c>
    </row>
    <row r="187" spans="1:2" x14ac:dyDescent="0.25">
      <c r="A187" s="1">
        <v>45462</v>
      </c>
      <c r="B187">
        <v>2885290</v>
      </c>
    </row>
    <row r="188" spans="1:2" x14ac:dyDescent="0.25">
      <c r="A188" s="1">
        <v>45461</v>
      </c>
      <c r="B188">
        <v>7214644</v>
      </c>
    </row>
    <row r="189" spans="1:2" x14ac:dyDescent="0.25">
      <c r="A189" s="1">
        <v>45457</v>
      </c>
      <c r="B189">
        <v>4521695</v>
      </c>
    </row>
    <row r="190" spans="1:2" x14ac:dyDescent="0.25">
      <c r="A190" s="1">
        <v>45456</v>
      </c>
      <c r="B190">
        <v>1872711</v>
      </c>
    </row>
    <row r="191" spans="1:2" x14ac:dyDescent="0.25">
      <c r="A191" s="1">
        <v>45455</v>
      </c>
      <c r="B191">
        <v>2218295</v>
      </c>
    </row>
    <row r="192" spans="1:2" x14ac:dyDescent="0.25">
      <c r="A192" s="1">
        <v>45454</v>
      </c>
      <c r="B192">
        <v>1909258</v>
      </c>
    </row>
    <row r="193" spans="1:2" x14ac:dyDescent="0.25">
      <c r="A193" s="1">
        <v>45453</v>
      </c>
      <c r="B193">
        <v>1989705</v>
      </c>
    </row>
    <row r="194" spans="1:2" x14ac:dyDescent="0.25">
      <c r="A194" s="1">
        <v>45450</v>
      </c>
      <c r="B194">
        <v>1813016</v>
      </c>
    </row>
    <row r="195" spans="1:2" x14ac:dyDescent="0.25">
      <c r="A195" s="1">
        <v>45449</v>
      </c>
      <c r="B195">
        <v>3961169</v>
      </c>
    </row>
    <row r="196" spans="1:2" x14ac:dyDescent="0.25">
      <c r="A196" s="1">
        <v>45448</v>
      </c>
      <c r="B196">
        <v>5764910</v>
      </c>
    </row>
    <row r="197" spans="1:2" x14ac:dyDescent="0.25">
      <c r="A197" s="1">
        <v>45447</v>
      </c>
      <c r="B197">
        <v>11657328</v>
      </c>
    </row>
    <row r="198" spans="1:2" x14ac:dyDescent="0.25">
      <c r="A198" s="1">
        <v>45446</v>
      </c>
      <c r="B198">
        <v>6599899</v>
      </c>
    </row>
    <row r="199" spans="1:2" x14ac:dyDescent="0.25">
      <c r="A199" s="1">
        <v>45443</v>
      </c>
      <c r="B199">
        <v>47181863</v>
      </c>
    </row>
    <row r="200" spans="1:2" x14ac:dyDescent="0.25">
      <c r="A200" s="1">
        <v>45442</v>
      </c>
      <c r="B200">
        <v>6029013</v>
      </c>
    </row>
    <row r="201" spans="1:2" x14ac:dyDescent="0.25">
      <c r="A201" s="1">
        <v>45441</v>
      </c>
      <c r="B201">
        <v>3836768</v>
      </c>
    </row>
    <row r="202" spans="1:2" x14ac:dyDescent="0.25">
      <c r="A202" s="1">
        <v>45440</v>
      </c>
      <c r="B202">
        <v>3934824</v>
      </c>
    </row>
    <row r="203" spans="1:2" x14ac:dyDescent="0.25">
      <c r="A203" s="1">
        <v>45439</v>
      </c>
      <c r="B203">
        <v>4677642</v>
      </c>
    </row>
    <row r="204" spans="1:2" x14ac:dyDescent="0.25">
      <c r="A204" s="1">
        <v>45436</v>
      </c>
      <c r="B204">
        <v>5408025</v>
      </c>
    </row>
    <row r="205" spans="1:2" x14ac:dyDescent="0.25">
      <c r="A205" s="1">
        <v>45435</v>
      </c>
      <c r="B205">
        <v>4278722</v>
      </c>
    </row>
    <row r="206" spans="1:2" x14ac:dyDescent="0.25">
      <c r="A206" s="1">
        <v>45434</v>
      </c>
      <c r="B206">
        <v>5160226</v>
      </c>
    </row>
    <row r="207" spans="1:2" x14ac:dyDescent="0.25">
      <c r="A207" s="1">
        <v>45433</v>
      </c>
      <c r="B207">
        <v>4562832</v>
      </c>
    </row>
    <row r="208" spans="1:2" x14ac:dyDescent="0.25">
      <c r="A208" s="1">
        <v>45430</v>
      </c>
      <c r="B208">
        <v>234551</v>
      </c>
    </row>
    <row r="209" spans="1:2" x14ac:dyDescent="0.25">
      <c r="A209" s="1">
        <v>45429</v>
      </c>
      <c r="B209">
        <v>3776753</v>
      </c>
    </row>
    <row r="210" spans="1:2" x14ac:dyDescent="0.25">
      <c r="A210" s="1">
        <v>45428</v>
      </c>
      <c r="B210">
        <v>4501917</v>
      </c>
    </row>
    <row r="211" spans="1:2" x14ac:dyDescent="0.25">
      <c r="A211" s="1">
        <v>45427</v>
      </c>
      <c r="B211">
        <v>7636943</v>
      </c>
    </row>
    <row r="212" spans="1:2" x14ac:dyDescent="0.25">
      <c r="A212" s="1">
        <v>45426</v>
      </c>
      <c r="B212">
        <v>6001660</v>
      </c>
    </row>
    <row r="213" spans="1:2" x14ac:dyDescent="0.25">
      <c r="A213" s="1">
        <v>45425</v>
      </c>
      <c r="B213">
        <v>3934451</v>
      </c>
    </row>
    <row r="214" spans="1:2" x14ac:dyDescent="0.25">
      <c r="A214" s="1">
        <v>45422</v>
      </c>
      <c r="B214">
        <v>10273764</v>
      </c>
    </row>
    <row r="215" spans="1:2" x14ac:dyDescent="0.25">
      <c r="A215" s="1">
        <v>45421</v>
      </c>
      <c r="B215">
        <v>10773010</v>
      </c>
    </row>
    <row r="216" spans="1:2" x14ac:dyDescent="0.25">
      <c r="A216" s="1">
        <v>45420</v>
      </c>
      <c r="B216">
        <v>11177701</v>
      </c>
    </row>
    <row r="217" spans="1:2" x14ac:dyDescent="0.25">
      <c r="A217" s="1">
        <v>45419</v>
      </c>
      <c r="B217">
        <v>4215319</v>
      </c>
    </row>
    <row r="218" spans="1:2" x14ac:dyDescent="0.25">
      <c r="A218" s="1">
        <v>45418</v>
      </c>
      <c r="B218">
        <v>2715347</v>
      </c>
    </row>
    <row r="219" spans="1:2" x14ac:dyDescent="0.25">
      <c r="A219" s="1">
        <v>45415</v>
      </c>
      <c r="B219">
        <v>2585406</v>
      </c>
    </row>
    <row r="220" spans="1:2" x14ac:dyDescent="0.25">
      <c r="A220" s="1">
        <v>45414</v>
      </c>
      <c r="B220">
        <v>2927025</v>
      </c>
    </row>
    <row r="221" spans="1:2" x14ac:dyDescent="0.25">
      <c r="A221" s="1">
        <v>45412</v>
      </c>
      <c r="B221">
        <v>5137464</v>
      </c>
    </row>
    <row r="222" spans="1:2" x14ac:dyDescent="0.25">
      <c r="A222" s="1">
        <v>45411</v>
      </c>
      <c r="B222">
        <v>917096</v>
      </c>
    </row>
    <row r="223" spans="1:2" x14ac:dyDescent="0.25">
      <c r="A223" s="1">
        <v>45408</v>
      </c>
      <c r="B223">
        <v>1929533</v>
      </c>
    </row>
    <row r="224" spans="1:2" x14ac:dyDescent="0.25">
      <c r="A224" s="1">
        <v>45407</v>
      </c>
      <c r="B224">
        <v>1539624</v>
      </c>
    </row>
    <row r="225" spans="1:2" x14ac:dyDescent="0.25">
      <c r="A225" s="1">
        <v>45406</v>
      </c>
      <c r="B225">
        <v>3340579</v>
      </c>
    </row>
    <row r="226" spans="1:2" x14ac:dyDescent="0.25">
      <c r="A226" s="1">
        <v>45405</v>
      </c>
      <c r="B226">
        <v>3430025</v>
      </c>
    </row>
    <row r="227" spans="1:2" x14ac:dyDescent="0.25">
      <c r="A227" s="1">
        <v>45404</v>
      </c>
      <c r="B227">
        <v>4322386</v>
      </c>
    </row>
    <row r="228" spans="1:2" x14ac:dyDescent="0.25">
      <c r="A228" s="1">
        <v>45401</v>
      </c>
      <c r="B228">
        <v>3564737</v>
      </c>
    </row>
    <row r="229" spans="1:2" x14ac:dyDescent="0.25">
      <c r="A229" s="1">
        <v>45400</v>
      </c>
      <c r="B229">
        <v>5774203</v>
      </c>
    </row>
    <row r="230" spans="1:2" x14ac:dyDescent="0.25">
      <c r="A230" s="1">
        <v>45398</v>
      </c>
      <c r="B230">
        <v>4629977</v>
      </c>
    </row>
    <row r="231" spans="1:2" x14ac:dyDescent="0.25">
      <c r="A231" s="1">
        <v>45397</v>
      </c>
      <c r="B231">
        <v>2834063</v>
      </c>
    </row>
    <row r="232" spans="1:2" x14ac:dyDescent="0.25">
      <c r="A232" s="1">
        <v>45394</v>
      </c>
      <c r="B232">
        <v>3756080</v>
      </c>
    </row>
    <row r="233" spans="1:2" x14ac:dyDescent="0.25">
      <c r="A233" s="1">
        <v>45392</v>
      </c>
      <c r="B233">
        <v>3433168</v>
      </c>
    </row>
    <row r="234" spans="1:2" x14ac:dyDescent="0.25">
      <c r="A234" s="1">
        <v>45391</v>
      </c>
      <c r="B234">
        <v>8876328</v>
      </c>
    </row>
    <row r="235" spans="1:2" x14ac:dyDescent="0.25">
      <c r="A235" s="1">
        <v>45390</v>
      </c>
      <c r="B235">
        <v>6476004</v>
      </c>
    </row>
    <row r="236" spans="1:2" x14ac:dyDescent="0.25">
      <c r="A236" s="1">
        <v>45387</v>
      </c>
      <c r="B236">
        <v>3623564</v>
      </c>
    </row>
    <row r="237" spans="1:2" x14ac:dyDescent="0.25">
      <c r="A237" s="1">
        <v>45386</v>
      </c>
      <c r="B237">
        <v>8023364</v>
      </c>
    </row>
    <row r="238" spans="1:2" x14ac:dyDescent="0.25">
      <c r="A238" s="1">
        <v>45385</v>
      </c>
      <c r="B238">
        <v>17570174</v>
      </c>
    </row>
    <row r="239" spans="1:2" x14ac:dyDescent="0.25">
      <c r="A239" s="1">
        <v>45384</v>
      </c>
      <c r="B239">
        <v>4041053</v>
      </c>
    </row>
    <row r="240" spans="1:2" x14ac:dyDescent="0.25">
      <c r="A240" s="1">
        <v>45383</v>
      </c>
      <c r="B240">
        <v>2547243</v>
      </c>
    </row>
    <row r="241" spans="1:2" x14ac:dyDescent="0.25">
      <c r="A241" s="1">
        <v>45379</v>
      </c>
      <c r="B241">
        <v>4207650</v>
      </c>
    </row>
    <row r="242" spans="1:2" x14ac:dyDescent="0.25">
      <c r="A242" s="1">
        <v>45378</v>
      </c>
      <c r="B242">
        <v>3169799</v>
      </c>
    </row>
    <row r="243" spans="1:2" x14ac:dyDescent="0.25">
      <c r="A243" s="1">
        <v>45377</v>
      </c>
      <c r="B243">
        <v>2405945</v>
      </c>
    </row>
    <row r="244" spans="1:2" x14ac:dyDescent="0.25">
      <c r="A244" s="1">
        <v>45373</v>
      </c>
      <c r="B244">
        <v>2676903</v>
      </c>
    </row>
    <row r="245" spans="1:2" x14ac:dyDescent="0.25">
      <c r="A245" s="1">
        <v>45372</v>
      </c>
      <c r="B245">
        <v>2459438</v>
      </c>
    </row>
    <row r="246" spans="1:2" x14ac:dyDescent="0.25">
      <c r="A246" s="1">
        <v>45371</v>
      </c>
      <c r="B246">
        <v>1667394</v>
      </c>
    </row>
    <row r="247" spans="1:2" x14ac:dyDescent="0.25">
      <c r="A247" s="1">
        <v>45370</v>
      </c>
      <c r="B247">
        <v>1848152</v>
      </c>
    </row>
    <row r="248" spans="1:2" x14ac:dyDescent="0.25">
      <c r="A248" s="1">
        <v>45369</v>
      </c>
      <c r="B248">
        <v>2663154</v>
      </c>
    </row>
  </sheetData>
  <mergeCells count="1">
    <mergeCell ref="E1:F1"/>
  </mergeCells>
  <phoneticPr fontId="18" type="noConversion"/>
  <conditionalFormatting sqref="F2:F20">
    <cfRule type="colorScale" priority="2">
      <colorScale>
        <cfvo type="min"/>
        <cfvo type="max"/>
        <color rgb="FFFCFCFF"/>
        <color rgb="FF63BE7B"/>
      </colorScale>
    </cfRule>
  </conditionalFormatting>
  <conditionalFormatting sqref="B1:B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{20A993F6-017A-475E-88F1-BEC07BEA19B5}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A993F6-017A-475E-88F1-BEC07BEA19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4535-1069-4EDC-A650-32581351E6FD}">
  <dimension ref="A1:K248"/>
  <sheetViews>
    <sheetView workbookViewId="0">
      <selection activeCell="G12" sqref="G12"/>
    </sheetView>
  </sheetViews>
  <sheetFormatPr defaultRowHeight="15" x14ac:dyDescent="0.25"/>
  <cols>
    <col min="1" max="1" width="10.140625" bestFit="1" customWidth="1"/>
    <col min="2" max="2" width="8.5703125" customWidth="1"/>
    <col min="3" max="3" width="8.140625" customWidth="1"/>
    <col min="4" max="4" width="14.42578125" customWidth="1"/>
    <col min="6" max="6" width="12.28515625" bestFit="1" customWidth="1"/>
    <col min="8" max="8" width="12.7109375" customWidth="1"/>
    <col min="9" max="9" width="16.140625" customWidth="1"/>
  </cols>
  <sheetData>
    <row r="1" spans="1:9" x14ac:dyDescent="0.25">
      <c r="A1" t="s">
        <v>0</v>
      </c>
      <c r="B1" t="s">
        <v>6</v>
      </c>
      <c r="C1" t="s">
        <v>11</v>
      </c>
      <c r="D1" t="s">
        <v>44</v>
      </c>
      <c r="H1" s="58" t="s">
        <v>45</v>
      </c>
      <c r="I1" s="58"/>
    </row>
    <row r="2" spans="1:9" x14ac:dyDescent="0.25">
      <c r="A2" s="1">
        <v>45729</v>
      </c>
      <c r="B2">
        <v>519.65</v>
      </c>
      <c r="C2">
        <v>514.1</v>
      </c>
      <c r="D2" s="5">
        <f t="shared" ref="D2:D65" si="0">((C2-B2)+2)/B2*100</f>
        <v>-0.68315212162031269</v>
      </c>
      <c r="H2" s="2" t="s">
        <v>2</v>
      </c>
      <c r="I2" s="3" t="s">
        <v>46</v>
      </c>
    </row>
    <row r="3" spans="1:9" x14ac:dyDescent="0.25">
      <c r="A3" s="1">
        <v>45728</v>
      </c>
      <c r="B3">
        <v>517</v>
      </c>
      <c r="C3">
        <v>515.20000000000005</v>
      </c>
      <c r="D3" s="5">
        <f t="shared" si="0"/>
        <v>3.868471953579216E-2</v>
      </c>
      <c r="H3" s="6">
        <v>45352</v>
      </c>
      <c r="I3" s="10">
        <v>0.84343676208929386</v>
      </c>
    </row>
    <row r="4" spans="1:9" x14ac:dyDescent="0.25">
      <c r="A4" s="1">
        <v>45727</v>
      </c>
      <c r="B4">
        <v>501</v>
      </c>
      <c r="C4">
        <v>513.75</v>
      </c>
      <c r="D4" s="5">
        <f t="shared" si="0"/>
        <v>2.9441117764471061</v>
      </c>
      <c r="H4" s="6">
        <v>45383</v>
      </c>
      <c r="I4" s="10">
        <v>1.0388980763653222</v>
      </c>
    </row>
    <row r="5" spans="1:9" x14ac:dyDescent="0.25">
      <c r="A5" s="1">
        <v>45726</v>
      </c>
      <c r="B5">
        <v>491</v>
      </c>
      <c r="C5">
        <v>505.35</v>
      </c>
      <c r="D5" s="5">
        <f t="shared" si="0"/>
        <v>3.3299389002036701</v>
      </c>
      <c r="H5" s="6">
        <v>45413</v>
      </c>
      <c r="I5" s="10">
        <v>-0.30752783407499729</v>
      </c>
    </row>
    <row r="6" spans="1:9" x14ac:dyDescent="0.25">
      <c r="A6" s="1">
        <v>45723</v>
      </c>
      <c r="B6">
        <v>498.05</v>
      </c>
      <c r="C6">
        <v>491.7</v>
      </c>
      <c r="D6" s="5">
        <f t="shared" si="0"/>
        <v>-0.8734062845095919</v>
      </c>
      <c r="H6" s="6">
        <v>45444</v>
      </c>
      <c r="I6" s="10">
        <v>0.34795602210320742</v>
      </c>
    </row>
    <row r="7" spans="1:9" x14ac:dyDescent="0.25">
      <c r="A7" s="1">
        <v>45722</v>
      </c>
      <c r="B7">
        <v>509.5</v>
      </c>
      <c r="C7">
        <v>499.6</v>
      </c>
      <c r="D7" s="5">
        <f t="shared" si="0"/>
        <v>-1.5505397448478857</v>
      </c>
      <c r="H7" s="6">
        <v>45474</v>
      </c>
      <c r="I7" s="10">
        <v>-0.20750461809771029</v>
      </c>
    </row>
    <row r="8" spans="1:9" x14ac:dyDescent="0.25">
      <c r="A8" s="1">
        <v>45721</v>
      </c>
      <c r="B8">
        <v>479.25</v>
      </c>
      <c r="C8">
        <v>509.1</v>
      </c>
      <c r="D8" s="5">
        <f t="shared" si="0"/>
        <v>6.6458007303077773</v>
      </c>
      <c r="H8" s="6">
        <v>45505</v>
      </c>
      <c r="I8" s="10">
        <v>-0.20190306836450869</v>
      </c>
    </row>
    <row r="9" spans="1:9" x14ac:dyDescent="0.25">
      <c r="A9" s="1">
        <v>45720</v>
      </c>
      <c r="B9">
        <v>471.5</v>
      </c>
      <c r="C9">
        <v>481.25</v>
      </c>
      <c r="D9" s="5">
        <f t="shared" si="0"/>
        <v>2.4920466595970305</v>
      </c>
      <c r="H9" s="6">
        <v>45536</v>
      </c>
      <c r="I9" s="10">
        <v>0.26651239711922875</v>
      </c>
    </row>
    <row r="10" spans="1:9" x14ac:dyDescent="0.25">
      <c r="A10" s="1">
        <v>45719</v>
      </c>
      <c r="B10">
        <v>464.7</v>
      </c>
      <c r="C10">
        <v>473.85</v>
      </c>
      <c r="D10" s="5">
        <f t="shared" si="0"/>
        <v>2.3993974607273585</v>
      </c>
      <c r="H10" s="6">
        <v>45566</v>
      </c>
      <c r="I10" s="10">
        <v>-0.23927006848066856</v>
      </c>
    </row>
    <row r="11" spans="1:9" x14ac:dyDescent="0.25">
      <c r="A11" s="1">
        <v>45716</v>
      </c>
      <c r="B11">
        <v>453.05</v>
      </c>
      <c r="C11">
        <v>464.1</v>
      </c>
      <c r="D11" s="5">
        <f t="shared" si="0"/>
        <v>2.880476768568593</v>
      </c>
      <c r="H11" s="6">
        <v>45597</v>
      </c>
      <c r="I11" s="10">
        <v>-0.31721794422609667</v>
      </c>
    </row>
    <row r="12" spans="1:9" x14ac:dyDescent="0.25">
      <c r="A12" s="1">
        <v>45715</v>
      </c>
      <c r="B12">
        <v>474.5</v>
      </c>
      <c r="C12">
        <v>458.8</v>
      </c>
      <c r="D12" s="5">
        <f t="shared" si="0"/>
        <v>-2.8872497365648027</v>
      </c>
      <c r="H12" s="6">
        <v>45627</v>
      </c>
      <c r="I12" s="10">
        <v>-0.2062323786153836</v>
      </c>
    </row>
    <row r="13" spans="1:9" x14ac:dyDescent="0.25">
      <c r="A13" s="1">
        <v>45713</v>
      </c>
      <c r="B13">
        <v>482</v>
      </c>
      <c r="C13">
        <v>467.25</v>
      </c>
      <c r="D13" s="5">
        <f t="shared" si="0"/>
        <v>-2.6452282157676348</v>
      </c>
      <c r="H13" s="6">
        <v>45658</v>
      </c>
      <c r="I13" s="10">
        <v>-0.39223721212904206</v>
      </c>
    </row>
    <row r="14" spans="1:9" x14ac:dyDescent="0.25">
      <c r="A14" s="1">
        <v>45712</v>
      </c>
      <c r="B14">
        <v>494</v>
      </c>
      <c r="C14">
        <v>479.7</v>
      </c>
      <c r="D14" s="5">
        <f t="shared" si="0"/>
        <v>-2.489878542510124</v>
      </c>
      <c r="H14" s="6">
        <v>45689</v>
      </c>
      <c r="I14" s="10">
        <v>-9.9880416879327513E-2</v>
      </c>
    </row>
    <row r="15" spans="1:9" x14ac:dyDescent="0.25">
      <c r="A15" s="1">
        <v>45709</v>
      </c>
      <c r="B15">
        <v>474</v>
      </c>
      <c r="C15">
        <v>496.6</v>
      </c>
      <c r="D15" s="5">
        <f t="shared" si="0"/>
        <v>5.1898734177215236</v>
      </c>
      <c r="H15" s="6">
        <v>45717</v>
      </c>
      <c r="I15" s="10">
        <v>1.638098010648994</v>
      </c>
    </row>
    <row r="16" spans="1:9" x14ac:dyDescent="0.25">
      <c r="A16" s="1">
        <v>45708</v>
      </c>
      <c r="B16">
        <v>450</v>
      </c>
      <c r="C16">
        <v>468.55</v>
      </c>
      <c r="D16" s="5">
        <f t="shared" si="0"/>
        <v>4.5666666666666691</v>
      </c>
      <c r="H16" s="6">
        <v>45748</v>
      </c>
      <c r="I16" s="9">
        <f>TREND($I$3:$I$15,$H$3:$H$15,H16:H21)</f>
        <v>4.1119274567741115E-2</v>
      </c>
    </row>
    <row r="17" spans="1:11" x14ac:dyDescent="0.25">
      <c r="A17" s="1">
        <v>45707</v>
      </c>
      <c r="B17">
        <v>439</v>
      </c>
      <c r="C17">
        <v>454.85</v>
      </c>
      <c r="D17" s="5">
        <f t="shared" si="0"/>
        <v>4.0660592255125341</v>
      </c>
      <c r="H17" s="6">
        <v>45778</v>
      </c>
      <c r="I17" s="9">
        <f t="shared" ref="I17:I21" si="1">TREND($I$3:$I$15,$H$3:$H$15,H17:H22)</f>
        <v>2.3436569268309171E-2</v>
      </c>
    </row>
    <row r="18" spans="1:11" x14ac:dyDescent="0.25">
      <c r="A18" s="1">
        <v>45706</v>
      </c>
      <c r="B18">
        <v>430.5</v>
      </c>
      <c r="C18">
        <v>440.4</v>
      </c>
      <c r="D18" s="5">
        <f t="shared" si="0"/>
        <v>2.7642276422764174</v>
      </c>
      <c r="H18" s="6">
        <v>45809</v>
      </c>
      <c r="I18" s="9">
        <f t="shared" si="1"/>
        <v>5.1644404588984116E-3</v>
      </c>
    </row>
    <row r="19" spans="1:11" x14ac:dyDescent="0.25">
      <c r="A19" s="1">
        <v>45705</v>
      </c>
      <c r="B19">
        <v>436.05</v>
      </c>
      <c r="C19">
        <v>431.5</v>
      </c>
      <c r="D19" s="5">
        <f t="shared" si="0"/>
        <v>-0.58479532163742942</v>
      </c>
      <c r="H19" s="6">
        <v>45839</v>
      </c>
      <c r="I19" s="9">
        <f t="shared" si="1"/>
        <v>-1.2518264840533533E-2</v>
      </c>
    </row>
    <row r="20" spans="1:11" x14ac:dyDescent="0.25">
      <c r="A20" s="1">
        <v>45702</v>
      </c>
      <c r="B20">
        <v>469</v>
      </c>
      <c r="C20">
        <v>437.1</v>
      </c>
      <c r="D20" s="5">
        <f t="shared" si="0"/>
        <v>-6.3752665245202511</v>
      </c>
      <c r="H20" s="6">
        <v>45870</v>
      </c>
      <c r="I20" s="9">
        <f t="shared" si="1"/>
        <v>-3.0790393649947845E-2</v>
      </c>
    </row>
    <row r="21" spans="1:11" x14ac:dyDescent="0.25">
      <c r="A21" s="1">
        <v>45701</v>
      </c>
      <c r="B21">
        <v>468</v>
      </c>
      <c r="C21">
        <v>467.65</v>
      </c>
      <c r="D21" s="5">
        <f t="shared" si="0"/>
        <v>0.3525641025640977</v>
      </c>
      <c r="H21" s="7">
        <v>45901</v>
      </c>
      <c r="I21" s="9">
        <f t="shared" si="1"/>
        <v>-4.9062522459358604E-2</v>
      </c>
    </row>
    <row r="22" spans="1:11" x14ac:dyDescent="0.25">
      <c r="A22" s="1">
        <v>45700</v>
      </c>
      <c r="B22">
        <v>466.85</v>
      </c>
      <c r="C22">
        <v>467.6</v>
      </c>
      <c r="D22" s="5">
        <f t="shared" si="0"/>
        <v>0.5890543000963907</v>
      </c>
    </row>
    <row r="23" spans="1:11" x14ac:dyDescent="0.25">
      <c r="A23" s="1">
        <v>45699</v>
      </c>
      <c r="B23">
        <v>475.1</v>
      </c>
      <c r="C23">
        <v>466.9</v>
      </c>
      <c r="D23" s="5">
        <f t="shared" si="0"/>
        <v>-1.3049884234898013</v>
      </c>
    </row>
    <row r="24" spans="1:11" x14ac:dyDescent="0.25">
      <c r="A24" s="1">
        <v>45698</v>
      </c>
      <c r="B24">
        <v>483.6</v>
      </c>
      <c r="C24">
        <v>476.9</v>
      </c>
      <c r="D24" s="5">
        <f t="shared" si="0"/>
        <v>-0.97187758478081998</v>
      </c>
    </row>
    <row r="25" spans="1:11" x14ac:dyDescent="0.25">
      <c r="A25" s="1">
        <v>45695</v>
      </c>
      <c r="B25">
        <v>492.75</v>
      </c>
      <c r="C25">
        <v>484.65</v>
      </c>
      <c r="D25" s="5">
        <f t="shared" si="0"/>
        <v>-1.2379502790461741</v>
      </c>
      <c r="H25" s="58" t="s">
        <v>47</v>
      </c>
      <c r="I25" s="58"/>
      <c r="J25" s="58"/>
      <c r="K25" s="11">
        <f>AVERAGE(I3:I15)</f>
        <v>0.16639444057371627</v>
      </c>
    </row>
    <row r="26" spans="1:11" x14ac:dyDescent="0.25">
      <c r="A26" s="1">
        <v>45694</v>
      </c>
      <c r="B26">
        <v>494</v>
      </c>
      <c r="C26">
        <v>494.2</v>
      </c>
      <c r="D26" s="5">
        <f t="shared" si="0"/>
        <v>0.44534412955465358</v>
      </c>
    </row>
    <row r="27" spans="1:11" x14ac:dyDescent="0.25">
      <c r="A27" s="1">
        <v>45693</v>
      </c>
      <c r="B27">
        <v>474.85</v>
      </c>
      <c r="C27">
        <v>493.8</v>
      </c>
      <c r="D27" s="5">
        <f t="shared" si="0"/>
        <v>4.4119195535432212</v>
      </c>
      <c r="H27" s="58" t="s">
        <v>49</v>
      </c>
      <c r="I27" s="58"/>
      <c r="J27" s="58"/>
      <c r="K27" s="12">
        <f>AVERAGE(I16:I21)</f>
        <v>-3.7751494424818808E-3</v>
      </c>
    </row>
    <row r="28" spans="1:11" x14ac:dyDescent="0.25">
      <c r="A28" s="1">
        <v>45692</v>
      </c>
      <c r="B28">
        <v>453.95</v>
      </c>
      <c r="C28">
        <v>469.7</v>
      </c>
      <c r="D28" s="5">
        <f t="shared" si="0"/>
        <v>3.910122260160811</v>
      </c>
    </row>
    <row r="29" spans="1:11" x14ac:dyDescent="0.25">
      <c r="A29" s="1">
        <v>45691</v>
      </c>
      <c r="B29">
        <v>474.8</v>
      </c>
      <c r="C29">
        <v>445.65</v>
      </c>
      <c r="D29" s="5">
        <f t="shared" si="0"/>
        <v>-5.7181971356360641</v>
      </c>
    </row>
    <row r="30" spans="1:11" x14ac:dyDescent="0.25">
      <c r="A30" s="1">
        <v>45689</v>
      </c>
      <c r="B30">
        <v>509.45</v>
      </c>
      <c r="C30">
        <v>472</v>
      </c>
      <c r="D30" s="5">
        <f t="shared" si="0"/>
        <v>-6.9584846402983587</v>
      </c>
    </row>
    <row r="31" spans="1:11" x14ac:dyDescent="0.25">
      <c r="A31" s="1">
        <v>45688</v>
      </c>
      <c r="B31">
        <v>489.5</v>
      </c>
      <c r="C31">
        <v>508.6</v>
      </c>
      <c r="D31" s="5">
        <f t="shared" si="0"/>
        <v>4.3105209397344275</v>
      </c>
    </row>
    <row r="32" spans="1:11" x14ac:dyDescent="0.25">
      <c r="A32" s="1">
        <v>45687</v>
      </c>
      <c r="B32">
        <v>476.8</v>
      </c>
      <c r="C32">
        <v>483.85</v>
      </c>
      <c r="D32" s="5">
        <f t="shared" si="0"/>
        <v>1.8980704697986601</v>
      </c>
    </row>
    <row r="33" spans="1:4" x14ac:dyDescent="0.25">
      <c r="A33" s="1">
        <v>45686</v>
      </c>
      <c r="B33">
        <v>463.7</v>
      </c>
      <c r="C33">
        <v>474.75</v>
      </c>
      <c r="D33" s="5">
        <f t="shared" si="0"/>
        <v>2.8143196031917213</v>
      </c>
    </row>
    <row r="34" spans="1:4" x14ac:dyDescent="0.25">
      <c r="A34" s="1">
        <v>45685</v>
      </c>
      <c r="B34">
        <v>531.5</v>
      </c>
      <c r="C34">
        <v>504</v>
      </c>
      <c r="D34" s="5">
        <f t="shared" si="0"/>
        <v>-4.7977422389463777</v>
      </c>
    </row>
    <row r="35" spans="1:4" x14ac:dyDescent="0.25">
      <c r="A35" s="1">
        <v>45684</v>
      </c>
      <c r="B35">
        <v>540</v>
      </c>
      <c r="C35">
        <v>534.35</v>
      </c>
      <c r="D35" s="5">
        <f t="shared" si="0"/>
        <v>-0.67592592592592171</v>
      </c>
    </row>
    <row r="36" spans="1:4" x14ac:dyDescent="0.25">
      <c r="A36" s="1">
        <v>45681</v>
      </c>
      <c r="B36">
        <v>555</v>
      </c>
      <c r="C36">
        <v>544.15</v>
      </c>
      <c r="D36" s="5">
        <f t="shared" si="0"/>
        <v>-1.5945945945945987</v>
      </c>
    </row>
    <row r="37" spans="1:4" x14ac:dyDescent="0.25">
      <c r="A37" s="1">
        <v>45680</v>
      </c>
      <c r="B37">
        <v>546.95000000000005</v>
      </c>
      <c r="C37">
        <v>552.1</v>
      </c>
      <c r="D37" s="5">
        <f t="shared" si="0"/>
        <v>1.3072492915257294</v>
      </c>
    </row>
    <row r="38" spans="1:4" x14ac:dyDescent="0.25">
      <c r="A38" s="1">
        <v>45679</v>
      </c>
      <c r="B38">
        <v>557.54999999999995</v>
      </c>
      <c r="C38">
        <v>550</v>
      </c>
      <c r="D38" s="5">
        <f t="shared" si="0"/>
        <v>-0.99542641915522467</v>
      </c>
    </row>
    <row r="39" spans="1:4" x14ac:dyDescent="0.25">
      <c r="A39" s="1">
        <v>45678</v>
      </c>
      <c r="B39">
        <v>581.9</v>
      </c>
      <c r="C39">
        <v>557.54999999999995</v>
      </c>
      <c r="D39" s="5">
        <f t="shared" si="0"/>
        <v>-3.8408661282007261</v>
      </c>
    </row>
    <row r="40" spans="1:4" x14ac:dyDescent="0.25">
      <c r="A40" s="1">
        <v>45677</v>
      </c>
      <c r="B40">
        <v>566</v>
      </c>
      <c r="C40">
        <v>579.25</v>
      </c>
      <c r="D40" s="5">
        <f t="shared" si="0"/>
        <v>2.6943462897526502</v>
      </c>
    </row>
    <row r="41" spans="1:4" x14ac:dyDescent="0.25">
      <c r="A41" s="1">
        <v>45674</v>
      </c>
      <c r="B41">
        <v>565.54999999999995</v>
      </c>
      <c r="C41">
        <v>568</v>
      </c>
      <c r="D41" s="5">
        <f t="shared" si="0"/>
        <v>0.78684466448590684</v>
      </c>
    </row>
    <row r="42" spans="1:4" x14ac:dyDescent="0.25">
      <c r="A42" s="1">
        <v>45673</v>
      </c>
      <c r="B42">
        <v>564.25</v>
      </c>
      <c r="C42">
        <v>570.45000000000005</v>
      </c>
      <c r="D42" s="5">
        <f t="shared" si="0"/>
        <v>1.4532565352237565</v>
      </c>
    </row>
    <row r="43" spans="1:4" x14ac:dyDescent="0.25">
      <c r="A43" s="1">
        <v>45672</v>
      </c>
      <c r="B43">
        <v>554</v>
      </c>
      <c r="C43">
        <v>561.5</v>
      </c>
      <c r="D43" s="5">
        <f t="shared" si="0"/>
        <v>1.7148014440433215</v>
      </c>
    </row>
    <row r="44" spans="1:4" x14ac:dyDescent="0.25">
      <c r="A44" s="1">
        <v>45671</v>
      </c>
      <c r="B44">
        <v>527</v>
      </c>
      <c r="C44">
        <v>547.85</v>
      </c>
      <c r="D44" s="5">
        <f t="shared" si="0"/>
        <v>4.3358633776091127</v>
      </c>
    </row>
    <row r="45" spans="1:4" x14ac:dyDescent="0.25">
      <c r="A45" s="1">
        <v>45670</v>
      </c>
      <c r="B45">
        <v>531.6</v>
      </c>
      <c r="C45">
        <v>517.75</v>
      </c>
      <c r="D45" s="5">
        <f t="shared" si="0"/>
        <v>-2.2291196388261896</v>
      </c>
    </row>
    <row r="46" spans="1:4" x14ac:dyDescent="0.25">
      <c r="A46" s="1">
        <v>45667</v>
      </c>
      <c r="B46">
        <v>557.9</v>
      </c>
      <c r="C46">
        <v>539.6</v>
      </c>
      <c r="D46" s="5">
        <f t="shared" si="0"/>
        <v>-2.9216705502778195</v>
      </c>
    </row>
    <row r="47" spans="1:4" x14ac:dyDescent="0.25">
      <c r="A47" s="1">
        <v>45666</v>
      </c>
      <c r="B47">
        <v>579.35</v>
      </c>
      <c r="C47">
        <v>557.65</v>
      </c>
      <c r="D47" s="5">
        <f t="shared" si="0"/>
        <v>-3.4003624751877179</v>
      </c>
    </row>
    <row r="48" spans="1:4" x14ac:dyDescent="0.25">
      <c r="A48" s="1">
        <v>45665</v>
      </c>
      <c r="B48">
        <v>590</v>
      </c>
      <c r="C48">
        <v>579.35</v>
      </c>
      <c r="D48" s="5">
        <f t="shared" si="0"/>
        <v>-1.4661016949152503</v>
      </c>
    </row>
    <row r="49" spans="1:4" x14ac:dyDescent="0.25">
      <c r="A49" s="1">
        <v>45664</v>
      </c>
      <c r="B49">
        <v>603.70000000000005</v>
      </c>
      <c r="C49">
        <v>595.65</v>
      </c>
      <c r="D49" s="5">
        <f t="shared" si="0"/>
        <v>-1.002153387444106</v>
      </c>
    </row>
    <row r="50" spans="1:4" x14ac:dyDescent="0.25">
      <c r="A50" s="1">
        <v>45663</v>
      </c>
      <c r="B50">
        <v>615</v>
      </c>
      <c r="C50">
        <v>601.54999999999995</v>
      </c>
      <c r="D50" s="5">
        <f t="shared" si="0"/>
        <v>-1.8617886178861862</v>
      </c>
    </row>
    <row r="51" spans="1:4" x14ac:dyDescent="0.25">
      <c r="A51" s="1">
        <v>45660</v>
      </c>
      <c r="B51">
        <v>642.4</v>
      </c>
      <c r="C51">
        <v>634.4</v>
      </c>
      <c r="D51" s="5">
        <f t="shared" si="0"/>
        <v>-0.93399750933997516</v>
      </c>
    </row>
    <row r="52" spans="1:4" x14ac:dyDescent="0.25">
      <c r="A52" s="1">
        <v>45659</v>
      </c>
      <c r="B52">
        <v>644.79999999999995</v>
      </c>
      <c r="C52">
        <v>641</v>
      </c>
      <c r="D52" s="5">
        <f t="shared" si="0"/>
        <v>-0.27915632754341729</v>
      </c>
    </row>
    <row r="53" spans="1:4" x14ac:dyDescent="0.25">
      <c r="A53" s="1">
        <v>45658</v>
      </c>
      <c r="B53">
        <v>643.95000000000005</v>
      </c>
      <c r="C53">
        <v>644.29999999999995</v>
      </c>
      <c r="D53" s="5">
        <f t="shared" si="0"/>
        <v>0.36493516577372603</v>
      </c>
    </row>
    <row r="54" spans="1:4" x14ac:dyDescent="0.25">
      <c r="A54" s="1">
        <v>45657</v>
      </c>
      <c r="B54">
        <v>640</v>
      </c>
      <c r="C54">
        <v>642.65</v>
      </c>
      <c r="D54" s="5">
        <f t="shared" si="0"/>
        <v>0.72656249999999645</v>
      </c>
    </row>
    <row r="55" spans="1:4" x14ac:dyDescent="0.25">
      <c r="A55" s="1">
        <v>45656</v>
      </c>
      <c r="B55">
        <v>651.95000000000005</v>
      </c>
      <c r="C55">
        <v>643.5</v>
      </c>
      <c r="D55" s="5">
        <f t="shared" si="0"/>
        <v>-0.98933967328783579</v>
      </c>
    </row>
    <row r="56" spans="1:4" x14ac:dyDescent="0.25">
      <c r="A56" s="1">
        <v>45653</v>
      </c>
      <c r="B56">
        <v>636.5</v>
      </c>
      <c r="C56">
        <v>625.79999999999995</v>
      </c>
      <c r="D56" s="5">
        <f t="shared" si="0"/>
        <v>-1.3668499607227094</v>
      </c>
    </row>
    <row r="57" spans="1:4" x14ac:dyDescent="0.25">
      <c r="A57" s="1">
        <v>45652</v>
      </c>
      <c r="B57">
        <v>650</v>
      </c>
      <c r="C57">
        <v>636.5</v>
      </c>
      <c r="D57" s="5">
        <f t="shared" si="0"/>
        <v>-1.7692307692307692</v>
      </c>
    </row>
    <row r="58" spans="1:4" x14ac:dyDescent="0.25">
      <c r="A58" s="1">
        <v>45650</v>
      </c>
      <c r="B58">
        <v>657.25</v>
      </c>
      <c r="C58">
        <v>648.04999999999995</v>
      </c>
      <c r="D58" s="5">
        <f t="shared" si="0"/>
        <v>-1.0954735640928179</v>
      </c>
    </row>
    <row r="59" spans="1:4" x14ac:dyDescent="0.25">
      <c r="A59" s="1">
        <v>45649</v>
      </c>
      <c r="B59">
        <v>677.85</v>
      </c>
      <c r="C59">
        <v>659.7</v>
      </c>
      <c r="D59" s="5">
        <f t="shared" si="0"/>
        <v>-2.3825330087777501</v>
      </c>
    </row>
    <row r="60" spans="1:4" x14ac:dyDescent="0.25">
      <c r="A60" s="1">
        <v>45646</v>
      </c>
      <c r="B60">
        <v>684.8</v>
      </c>
      <c r="C60">
        <v>669.8</v>
      </c>
      <c r="D60" s="5">
        <f t="shared" si="0"/>
        <v>-1.8983644859813087</v>
      </c>
    </row>
    <row r="61" spans="1:4" x14ac:dyDescent="0.25">
      <c r="A61" s="1">
        <v>45645</v>
      </c>
      <c r="B61">
        <v>670.95</v>
      </c>
      <c r="C61">
        <v>685</v>
      </c>
      <c r="D61" s="5">
        <f t="shared" si="0"/>
        <v>2.3921305611446386</v>
      </c>
    </row>
    <row r="62" spans="1:4" x14ac:dyDescent="0.25">
      <c r="A62" s="1">
        <v>45644</v>
      </c>
      <c r="B62">
        <v>694.95</v>
      </c>
      <c r="C62">
        <v>682.05</v>
      </c>
      <c r="D62" s="5">
        <f t="shared" si="0"/>
        <v>-1.5684581624577438</v>
      </c>
    </row>
    <row r="63" spans="1:4" x14ac:dyDescent="0.25">
      <c r="A63" s="1">
        <v>45643</v>
      </c>
      <c r="B63">
        <v>683.1</v>
      </c>
      <c r="C63">
        <v>685.15</v>
      </c>
      <c r="D63" s="5">
        <f t="shared" si="0"/>
        <v>0.59288537549406439</v>
      </c>
    </row>
    <row r="64" spans="1:4" x14ac:dyDescent="0.25">
      <c r="A64" s="1">
        <v>45642</v>
      </c>
      <c r="B64">
        <v>685</v>
      </c>
      <c r="C64">
        <v>688.95</v>
      </c>
      <c r="D64" s="5">
        <f t="shared" si="0"/>
        <v>0.86861313868613799</v>
      </c>
    </row>
    <row r="65" spans="1:4" x14ac:dyDescent="0.25">
      <c r="A65" s="1">
        <v>45639</v>
      </c>
      <c r="B65">
        <v>679</v>
      </c>
      <c r="C65">
        <v>678.6</v>
      </c>
      <c r="D65" s="5">
        <f t="shared" si="0"/>
        <v>0.23564064801178541</v>
      </c>
    </row>
    <row r="66" spans="1:4" x14ac:dyDescent="0.25">
      <c r="A66" s="1">
        <v>45638</v>
      </c>
      <c r="B66">
        <v>678.5</v>
      </c>
      <c r="C66">
        <v>685.25</v>
      </c>
      <c r="D66" s="5">
        <f t="shared" ref="D66:D129" si="2">((C66-B66)+2)/B66*100</f>
        <v>1.2896094325718497</v>
      </c>
    </row>
    <row r="67" spans="1:4" x14ac:dyDescent="0.25">
      <c r="A67" s="1">
        <v>45637</v>
      </c>
      <c r="B67">
        <v>668.7</v>
      </c>
      <c r="C67">
        <v>677.6</v>
      </c>
      <c r="D67" s="5">
        <f t="shared" si="2"/>
        <v>1.6300284133393115</v>
      </c>
    </row>
    <row r="68" spans="1:4" x14ac:dyDescent="0.25">
      <c r="A68" s="1">
        <v>45636</v>
      </c>
      <c r="B68">
        <v>673</v>
      </c>
      <c r="C68">
        <v>668</v>
      </c>
      <c r="D68" s="5">
        <f t="shared" si="2"/>
        <v>-0.44576523031203563</v>
      </c>
    </row>
    <row r="69" spans="1:4" x14ac:dyDescent="0.25">
      <c r="A69" s="1">
        <v>45635</v>
      </c>
      <c r="B69">
        <v>684.9</v>
      </c>
      <c r="C69">
        <v>675.2</v>
      </c>
      <c r="D69" s="5">
        <f t="shared" si="2"/>
        <v>-1.1242517155789067</v>
      </c>
    </row>
    <row r="70" spans="1:4" x14ac:dyDescent="0.25">
      <c r="A70" s="1">
        <v>45632</v>
      </c>
      <c r="B70">
        <v>670</v>
      </c>
      <c r="C70">
        <v>674.35</v>
      </c>
      <c r="D70" s="5">
        <f t="shared" si="2"/>
        <v>0.94776119402985404</v>
      </c>
    </row>
    <row r="71" spans="1:4" x14ac:dyDescent="0.25">
      <c r="A71" s="1">
        <v>45631</v>
      </c>
      <c r="B71">
        <v>651.4</v>
      </c>
      <c r="C71">
        <v>664.15</v>
      </c>
      <c r="D71" s="5">
        <f t="shared" si="2"/>
        <v>2.2643536997236722</v>
      </c>
    </row>
    <row r="72" spans="1:4" x14ac:dyDescent="0.25">
      <c r="A72" s="1">
        <v>45630</v>
      </c>
      <c r="B72">
        <v>652.04999999999995</v>
      </c>
      <c r="C72">
        <v>648.4</v>
      </c>
      <c r="D72" s="5">
        <f t="shared" si="2"/>
        <v>-0.25304807913503219</v>
      </c>
    </row>
    <row r="73" spans="1:4" x14ac:dyDescent="0.25">
      <c r="A73" s="1">
        <v>45629</v>
      </c>
      <c r="B73">
        <v>653.20000000000005</v>
      </c>
      <c r="C73">
        <v>642.95000000000005</v>
      </c>
      <c r="D73" s="5">
        <f t="shared" si="2"/>
        <v>-1.2630128597672994</v>
      </c>
    </row>
    <row r="74" spans="1:4" x14ac:dyDescent="0.25">
      <c r="A74" s="1">
        <v>45628</v>
      </c>
      <c r="B74">
        <v>655</v>
      </c>
      <c r="C74">
        <v>645.65</v>
      </c>
      <c r="D74" s="5">
        <f t="shared" si="2"/>
        <v>-1.1221374045801562</v>
      </c>
    </row>
    <row r="75" spans="1:4" x14ac:dyDescent="0.25">
      <c r="A75" s="1">
        <v>45625</v>
      </c>
      <c r="B75">
        <v>665</v>
      </c>
      <c r="C75">
        <v>654.65</v>
      </c>
      <c r="D75" s="5">
        <f t="shared" si="2"/>
        <v>-1.2556390977443643</v>
      </c>
    </row>
    <row r="76" spans="1:4" x14ac:dyDescent="0.25">
      <c r="A76" s="1">
        <v>45624</v>
      </c>
      <c r="B76">
        <v>676.5</v>
      </c>
      <c r="C76">
        <v>662.8</v>
      </c>
      <c r="D76" s="5">
        <f t="shared" si="2"/>
        <v>-1.7294900221729557</v>
      </c>
    </row>
    <row r="77" spans="1:4" x14ac:dyDescent="0.25">
      <c r="A77" s="1">
        <v>45623</v>
      </c>
      <c r="B77">
        <v>659.8</v>
      </c>
      <c r="C77">
        <v>673.3</v>
      </c>
      <c r="D77" s="5">
        <f t="shared" si="2"/>
        <v>2.3491967262806912</v>
      </c>
    </row>
    <row r="78" spans="1:4" x14ac:dyDescent="0.25">
      <c r="A78" s="1">
        <v>45622</v>
      </c>
      <c r="B78">
        <v>670.95</v>
      </c>
      <c r="C78">
        <v>657.4</v>
      </c>
      <c r="D78" s="5">
        <f t="shared" si="2"/>
        <v>-1.7214397496087737</v>
      </c>
    </row>
    <row r="79" spans="1:4" x14ac:dyDescent="0.25">
      <c r="A79" s="1">
        <v>45621</v>
      </c>
      <c r="B79">
        <v>705</v>
      </c>
      <c r="C79">
        <v>675.05</v>
      </c>
      <c r="D79" s="5">
        <f t="shared" si="2"/>
        <v>-3.9645390070922049</v>
      </c>
    </row>
    <row r="80" spans="1:4" x14ac:dyDescent="0.25">
      <c r="A80" s="1">
        <v>45618</v>
      </c>
      <c r="B80">
        <v>700.95</v>
      </c>
      <c r="C80">
        <v>688.9</v>
      </c>
      <c r="D80" s="5">
        <f t="shared" si="2"/>
        <v>-1.4337684570939535</v>
      </c>
    </row>
    <row r="81" spans="1:4" x14ac:dyDescent="0.25">
      <c r="A81" s="1">
        <v>45617</v>
      </c>
      <c r="B81">
        <v>704</v>
      </c>
      <c r="C81">
        <v>699.15</v>
      </c>
      <c r="D81" s="5">
        <f t="shared" si="2"/>
        <v>-0.40482954545454869</v>
      </c>
    </row>
    <row r="82" spans="1:4" x14ac:dyDescent="0.25">
      <c r="A82" s="1">
        <v>45615</v>
      </c>
      <c r="B82">
        <v>718</v>
      </c>
      <c r="C82">
        <v>709.9</v>
      </c>
      <c r="D82" s="5">
        <f t="shared" si="2"/>
        <v>-0.84958217270195302</v>
      </c>
    </row>
    <row r="83" spans="1:4" x14ac:dyDescent="0.25">
      <c r="A83" s="1">
        <v>45614</v>
      </c>
      <c r="B83">
        <v>736</v>
      </c>
      <c r="C83">
        <v>712.8</v>
      </c>
      <c r="D83" s="5">
        <f t="shared" si="2"/>
        <v>-2.880434782608702</v>
      </c>
    </row>
    <row r="84" spans="1:4" x14ac:dyDescent="0.25">
      <c r="A84" s="1">
        <v>45610</v>
      </c>
      <c r="B84">
        <v>734.9</v>
      </c>
      <c r="C84">
        <v>732</v>
      </c>
      <c r="D84" s="5">
        <f t="shared" si="2"/>
        <v>-0.12246564158388587</v>
      </c>
    </row>
    <row r="85" spans="1:4" x14ac:dyDescent="0.25">
      <c r="A85" s="1">
        <v>45609</v>
      </c>
      <c r="B85">
        <v>749.95</v>
      </c>
      <c r="C85">
        <v>728.95</v>
      </c>
      <c r="D85" s="5">
        <f t="shared" si="2"/>
        <v>-2.5335022334822321</v>
      </c>
    </row>
    <row r="86" spans="1:4" x14ac:dyDescent="0.25">
      <c r="A86" s="1">
        <v>45608</v>
      </c>
      <c r="B86">
        <v>739.95</v>
      </c>
      <c r="C86">
        <v>750.05</v>
      </c>
      <c r="D86" s="5">
        <f t="shared" si="2"/>
        <v>1.6352456247043596</v>
      </c>
    </row>
    <row r="87" spans="1:4" x14ac:dyDescent="0.25">
      <c r="A87" s="1">
        <v>45607</v>
      </c>
      <c r="B87">
        <v>709.85</v>
      </c>
      <c r="C87">
        <v>739.25</v>
      </c>
      <c r="D87" s="5">
        <f t="shared" si="2"/>
        <v>4.4234697471296718</v>
      </c>
    </row>
    <row r="88" spans="1:4" x14ac:dyDescent="0.25">
      <c r="A88" s="1">
        <v>45604</v>
      </c>
      <c r="B88">
        <v>721</v>
      </c>
      <c r="C88">
        <v>712.05</v>
      </c>
      <c r="D88" s="5">
        <f t="shared" si="2"/>
        <v>-0.96393897364771775</v>
      </c>
    </row>
    <row r="89" spans="1:4" x14ac:dyDescent="0.25">
      <c r="A89" s="1">
        <v>45603</v>
      </c>
      <c r="B89">
        <v>691</v>
      </c>
      <c r="C89">
        <v>714.8</v>
      </c>
      <c r="D89" s="5">
        <f t="shared" si="2"/>
        <v>3.7337192474674321</v>
      </c>
    </row>
    <row r="90" spans="1:4" x14ac:dyDescent="0.25">
      <c r="A90" s="1">
        <v>45602</v>
      </c>
      <c r="B90">
        <v>660.95</v>
      </c>
      <c r="C90">
        <v>682.6</v>
      </c>
      <c r="D90" s="5">
        <f t="shared" si="2"/>
        <v>3.5781829185263598</v>
      </c>
    </row>
    <row r="91" spans="1:4" x14ac:dyDescent="0.25">
      <c r="A91" s="1">
        <v>45601</v>
      </c>
      <c r="B91">
        <v>664</v>
      </c>
      <c r="C91">
        <v>654.79999999999995</v>
      </c>
      <c r="D91" s="5">
        <f t="shared" si="2"/>
        <v>-1.0843373493975972</v>
      </c>
    </row>
    <row r="92" spans="1:4" x14ac:dyDescent="0.25">
      <c r="A92" s="1">
        <v>45600</v>
      </c>
      <c r="B92">
        <v>683</v>
      </c>
      <c r="C92">
        <v>663.15</v>
      </c>
      <c r="D92" s="5">
        <f t="shared" si="2"/>
        <v>-2.6134699853587149</v>
      </c>
    </row>
    <row r="93" spans="1:4" x14ac:dyDescent="0.25">
      <c r="A93" s="1">
        <v>45597</v>
      </c>
      <c r="B93">
        <v>685.95</v>
      </c>
      <c r="C93">
        <v>682.65</v>
      </c>
      <c r="D93" s="5">
        <f t="shared" si="2"/>
        <v>-0.18951818645674876</v>
      </c>
    </row>
    <row r="94" spans="1:4" x14ac:dyDescent="0.25">
      <c r="A94" s="1">
        <v>45596</v>
      </c>
      <c r="B94">
        <v>674.35</v>
      </c>
      <c r="C94">
        <v>679.15</v>
      </c>
      <c r="D94" s="5">
        <f t="shared" si="2"/>
        <v>1.008378438496323</v>
      </c>
    </row>
    <row r="95" spans="1:4" x14ac:dyDescent="0.25">
      <c r="A95" s="1">
        <v>45595</v>
      </c>
      <c r="B95">
        <v>683.3</v>
      </c>
      <c r="C95">
        <v>674.35</v>
      </c>
      <c r="D95" s="5">
        <f t="shared" si="2"/>
        <v>-1.0171227864773793</v>
      </c>
    </row>
    <row r="96" spans="1:4" x14ac:dyDescent="0.25">
      <c r="A96" s="1">
        <v>45594</v>
      </c>
      <c r="B96">
        <v>644</v>
      </c>
      <c r="C96">
        <v>683.3</v>
      </c>
      <c r="D96" s="5">
        <f t="shared" si="2"/>
        <v>6.413043478260863</v>
      </c>
    </row>
    <row r="97" spans="1:4" x14ac:dyDescent="0.25">
      <c r="A97" s="1">
        <v>45593</v>
      </c>
      <c r="B97">
        <v>672.15</v>
      </c>
      <c r="C97">
        <v>642.9</v>
      </c>
      <c r="D97" s="5">
        <f t="shared" si="2"/>
        <v>-4.0541545785910884</v>
      </c>
    </row>
    <row r="98" spans="1:4" x14ac:dyDescent="0.25">
      <c r="A98" s="1">
        <v>45590</v>
      </c>
      <c r="B98">
        <v>665</v>
      </c>
      <c r="C98">
        <v>668.9</v>
      </c>
      <c r="D98" s="5">
        <f t="shared" si="2"/>
        <v>0.88721804511277846</v>
      </c>
    </row>
    <row r="99" spans="1:4" x14ac:dyDescent="0.25">
      <c r="A99" s="1">
        <v>45589</v>
      </c>
      <c r="B99">
        <v>691.5</v>
      </c>
      <c r="C99">
        <v>671</v>
      </c>
      <c r="D99" s="5">
        <f t="shared" si="2"/>
        <v>-2.6753434562545189</v>
      </c>
    </row>
    <row r="100" spans="1:4" x14ac:dyDescent="0.25">
      <c r="A100" s="1">
        <v>45588</v>
      </c>
      <c r="B100">
        <v>665.05</v>
      </c>
      <c r="C100">
        <v>687.75</v>
      </c>
      <c r="D100" s="5">
        <f t="shared" si="2"/>
        <v>3.7140064656792795</v>
      </c>
    </row>
    <row r="101" spans="1:4" x14ac:dyDescent="0.25">
      <c r="A101" s="1">
        <v>45587</v>
      </c>
      <c r="B101">
        <v>688.05</v>
      </c>
      <c r="C101">
        <v>670.25</v>
      </c>
      <c r="D101" s="5">
        <f t="shared" si="2"/>
        <v>-2.2963447423879013</v>
      </c>
    </row>
    <row r="102" spans="1:4" x14ac:dyDescent="0.25">
      <c r="A102" s="1">
        <v>45586</v>
      </c>
      <c r="B102">
        <v>684</v>
      </c>
      <c r="C102">
        <v>684.55</v>
      </c>
      <c r="D102" s="5">
        <f t="shared" si="2"/>
        <v>0.37280701754385298</v>
      </c>
    </row>
    <row r="103" spans="1:4" x14ac:dyDescent="0.25">
      <c r="A103" s="1">
        <v>45583</v>
      </c>
      <c r="B103">
        <v>680</v>
      </c>
      <c r="C103">
        <v>676.85</v>
      </c>
      <c r="D103" s="5">
        <f t="shared" si="2"/>
        <v>-0.16911764705882018</v>
      </c>
    </row>
    <row r="104" spans="1:4" x14ac:dyDescent="0.25">
      <c r="A104" s="1">
        <v>45582</v>
      </c>
      <c r="B104">
        <v>695.25</v>
      </c>
      <c r="C104">
        <v>676.55</v>
      </c>
      <c r="D104" s="5">
        <f t="shared" si="2"/>
        <v>-2.4020136641495928</v>
      </c>
    </row>
    <row r="105" spans="1:4" x14ac:dyDescent="0.25">
      <c r="A105" s="1">
        <v>45581</v>
      </c>
      <c r="B105">
        <v>697</v>
      </c>
      <c r="C105">
        <v>689.3</v>
      </c>
      <c r="D105" s="5">
        <f t="shared" si="2"/>
        <v>-0.81779053084649145</v>
      </c>
    </row>
    <row r="106" spans="1:4" x14ac:dyDescent="0.25">
      <c r="A106" s="1">
        <v>45580</v>
      </c>
      <c r="B106">
        <v>705</v>
      </c>
      <c r="C106">
        <v>692.15</v>
      </c>
      <c r="D106" s="5">
        <f t="shared" si="2"/>
        <v>-1.5390070921985848</v>
      </c>
    </row>
    <row r="107" spans="1:4" x14ac:dyDescent="0.25">
      <c r="A107" s="1">
        <v>45579</v>
      </c>
      <c r="B107">
        <v>715.5</v>
      </c>
      <c r="C107">
        <v>703.2</v>
      </c>
      <c r="D107" s="5">
        <f t="shared" si="2"/>
        <v>-1.4395527603074709</v>
      </c>
    </row>
    <row r="108" spans="1:4" x14ac:dyDescent="0.25">
      <c r="A108" s="1">
        <v>45576</v>
      </c>
      <c r="B108">
        <v>728.05</v>
      </c>
      <c r="C108">
        <v>706.7</v>
      </c>
      <c r="D108" s="5">
        <f t="shared" si="2"/>
        <v>-2.6577844928232826</v>
      </c>
    </row>
    <row r="109" spans="1:4" x14ac:dyDescent="0.25">
      <c r="A109" s="1">
        <v>45575</v>
      </c>
      <c r="B109">
        <v>730.1</v>
      </c>
      <c r="C109">
        <v>728.85</v>
      </c>
      <c r="D109" s="5">
        <f t="shared" si="2"/>
        <v>0.10272565401999725</v>
      </c>
    </row>
    <row r="110" spans="1:4" x14ac:dyDescent="0.25">
      <c r="A110" s="1">
        <v>45574</v>
      </c>
      <c r="B110">
        <v>722.55</v>
      </c>
      <c r="C110">
        <v>730.1</v>
      </c>
      <c r="D110" s="5">
        <f t="shared" si="2"/>
        <v>1.321707840287879</v>
      </c>
    </row>
    <row r="111" spans="1:4" x14ac:dyDescent="0.25">
      <c r="A111" s="1">
        <v>45573</v>
      </c>
      <c r="B111">
        <v>685</v>
      </c>
      <c r="C111">
        <v>722.55</v>
      </c>
      <c r="D111" s="5">
        <f t="shared" si="2"/>
        <v>5.7737226277372198</v>
      </c>
    </row>
    <row r="112" spans="1:4" x14ac:dyDescent="0.25">
      <c r="A112" s="1">
        <v>45572</v>
      </c>
      <c r="B112">
        <v>700</v>
      </c>
      <c r="C112">
        <v>674.2</v>
      </c>
      <c r="D112" s="5">
        <f t="shared" si="2"/>
        <v>-3.3999999999999932</v>
      </c>
    </row>
    <row r="113" spans="1:4" x14ac:dyDescent="0.25">
      <c r="A113" s="1">
        <v>45569</v>
      </c>
      <c r="B113">
        <v>708.65</v>
      </c>
      <c r="C113">
        <v>699.5</v>
      </c>
      <c r="D113" s="5">
        <f t="shared" si="2"/>
        <v>-1.0089606999223846</v>
      </c>
    </row>
    <row r="114" spans="1:4" x14ac:dyDescent="0.25">
      <c r="A114" s="1">
        <v>45568</v>
      </c>
      <c r="B114">
        <v>713.05</v>
      </c>
      <c r="C114">
        <v>708.6</v>
      </c>
      <c r="D114" s="5">
        <f t="shared" si="2"/>
        <v>-0.34359441834372512</v>
      </c>
    </row>
    <row r="115" spans="1:4" x14ac:dyDescent="0.25">
      <c r="A115" s="1">
        <v>45566</v>
      </c>
      <c r="B115">
        <v>733.05</v>
      </c>
      <c r="C115">
        <v>723.45</v>
      </c>
      <c r="D115" s="5">
        <f t="shared" si="2"/>
        <v>-1.0367642043516689</v>
      </c>
    </row>
    <row r="116" spans="1:4" x14ac:dyDescent="0.25">
      <c r="A116" s="1">
        <v>45565</v>
      </c>
      <c r="B116">
        <v>735</v>
      </c>
      <c r="C116">
        <v>733.05</v>
      </c>
      <c r="D116" s="5">
        <f t="shared" si="2"/>
        <v>6.802721088429187E-3</v>
      </c>
    </row>
    <row r="117" spans="1:4" x14ac:dyDescent="0.25">
      <c r="A117" s="1">
        <v>45562</v>
      </c>
      <c r="B117">
        <v>776</v>
      </c>
      <c r="C117">
        <v>740.3</v>
      </c>
      <c r="D117" s="5">
        <f t="shared" si="2"/>
        <v>-4.3427835051546451</v>
      </c>
    </row>
    <row r="118" spans="1:4" x14ac:dyDescent="0.25">
      <c r="A118" s="1">
        <v>45561</v>
      </c>
      <c r="B118">
        <v>781.5</v>
      </c>
      <c r="C118">
        <v>776.4</v>
      </c>
      <c r="D118" s="5">
        <f t="shared" si="2"/>
        <v>-0.39667306461932472</v>
      </c>
    </row>
    <row r="119" spans="1:4" x14ac:dyDescent="0.25">
      <c r="A119" s="1">
        <v>45560</v>
      </c>
      <c r="B119">
        <v>790</v>
      </c>
      <c r="C119">
        <v>783.9</v>
      </c>
      <c r="D119" s="5">
        <f t="shared" si="2"/>
        <v>-0.51898734177215478</v>
      </c>
    </row>
    <row r="120" spans="1:4" x14ac:dyDescent="0.25">
      <c r="A120" s="1">
        <v>45559</v>
      </c>
      <c r="B120">
        <v>793</v>
      </c>
      <c r="C120">
        <v>789.3</v>
      </c>
      <c r="D120" s="5">
        <f t="shared" si="2"/>
        <v>-0.21437578814628566</v>
      </c>
    </row>
    <row r="121" spans="1:4" x14ac:dyDescent="0.25">
      <c r="A121" s="1">
        <v>45558</v>
      </c>
      <c r="B121">
        <v>785.35</v>
      </c>
      <c r="C121">
        <v>792.05</v>
      </c>
      <c r="D121" s="5">
        <f t="shared" si="2"/>
        <v>1.1077863373018313</v>
      </c>
    </row>
    <row r="122" spans="1:4" x14ac:dyDescent="0.25">
      <c r="A122" s="1">
        <v>45555</v>
      </c>
      <c r="B122">
        <v>745.45</v>
      </c>
      <c r="C122">
        <v>782.35</v>
      </c>
      <c r="D122" s="5">
        <f t="shared" si="2"/>
        <v>5.2183245019786675</v>
      </c>
    </row>
    <row r="123" spans="1:4" x14ac:dyDescent="0.25">
      <c r="A123" s="1">
        <v>45554</v>
      </c>
      <c r="B123">
        <v>754</v>
      </c>
      <c r="C123">
        <v>742.85</v>
      </c>
      <c r="D123" s="5">
        <f t="shared" si="2"/>
        <v>-1.213527851458883</v>
      </c>
    </row>
    <row r="124" spans="1:4" x14ac:dyDescent="0.25">
      <c r="A124" s="1">
        <v>45553</v>
      </c>
      <c r="B124">
        <v>749.9</v>
      </c>
      <c r="C124">
        <v>750.75</v>
      </c>
      <c r="D124" s="5">
        <f t="shared" si="2"/>
        <v>0.38005067342312615</v>
      </c>
    </row>
    <row r="125" spans="1:4" x14ac:dyDescent="0.25">
      <c r="A125" s="1">
        <v>45552</v>
      </c>
      <c r="B125">
        <v>771.6</v>
      </c>
      <c r="C125">
        <v>748.55</v>
      </c>
      <c r="D125" s="5">
        <f t="shared" si="2"/>
        <v>-2.728097459823752</v>
      </c>
    </row>
    <row r="126" spans="1:4" x14ac:dyDescent="0.25">
      <c r="A126" s="1">
        <v>45551</v>
      </c>
      <c r="B126">
        <v>776</v>
      </c>
      <c r="C126">
        <v>771.6</v>
      </c>
      <c r="D126" s="5">
        <f t="shared" si="2"/>
        <v>-0.30927835051546099</v>
      </c>
    </row>
    <row r="127" spans="1:4" x14ac:dyDescent="0.25">
      <c r="A127" s="1">
        <v>45548</v>
      </c>
      <c r="B127">
        <v>761.2</v>
      </c>
      <c r="C127">
        <v>768.25</v>
      </c>
      <c r="D127" s="5">
        <f t="shared" si="2"/>
        <v>1.1889122438255326</v>
      </c>
    </row>
    <row r="128" spans="1:4" x14ac:dyDescent="0.25">
      <c r="A128" s="1">
        <v>45547</v>
      </c>
      <c r="B128">
        <v>750</v>
      </c>
      <c r="C128">
        <v>760.1</v>
      </c>
      <c r="D128" s="5">
        <f t="shared" si="2"/>
        <v>1.6133333333333364</v>
      </c>
    </row>
    <row r="129" spans="1:4" x14ac:dyDescent="0.25">
      <c r="A129" s="1">
        <v>45546</v>
      </c>
      <c r="B129">
        <v>746.9</v>
      </c>
      <c r="C129">
        <v>741.8</v>
      </c>
      <c r="D129" s="5">
        <f t="shared" si="2"/>
        <v>-0.41504886865711915</v>
      </c>
    </row>
    <row r="130" spans="1:4" x14ac:dyDescent="0.25">
      <c r="A130" s="1">
        <v>45545</v>
      </c>
      <c r="B130">
        <v>738</v>
      </c>
      <c r="C130">
        <v>744.2</v>
      </c>
      <c r="D130" s="5">
        <f t="shared" ref="D130:D193" si="3">((C130-B130)+2)/B130*100</f>
        <v>1.1111111111111172</v>
      </c>
    </row>
    <row r="131" spans="1:4" x14ac:dyDescent="0.25">
      <c r="A131" s="1">
        <v>45544</v>
      </c>
      <c r="B131">
        <v>708.25</v>
      </c>
      <c r="C131">
        <v>730.75</v>
      </c>
      <c r="D131" s="5">
        <f t="shared" si="3"/>
        <v>3.4592304977056121</v>
      </c>
    </row>
    <row r="132" spans="1:4" x14ac:dyDescent="0.25">
      <c r="A132" s="1">
        <v>45541</v>
      </c>
      <c r="B132">
        <v>713.75</v>
      </c>
      <c r="C132">
        <v>709.55</v>
      </c>
      <c r="D132" s="5">
        <f t="shared" si="3"/>
        <v>-0.30823117338004141</v>
      </c>
    </row>
    <row r="133" spans="1:4" x14ac:dyDescent="0.25">
      <c r="A133" s="1">
        <v>45540</v>
      </c>
      <c r="B133">
        <v>699</v>
      </c>
      <c r="C133">
        <v>714.45</v>
      </c>
      <c r="D133" s="5">
        <f t="shared" si="3"/>
        <v>2.4964234620887047</v>
      </c>
    </row>
    <row r="134" spans="1:4" x14ac:dyDescent="0.25">
      <c r="A134" s="1">
        <v>45539</v>
      </c>
      <c r="B134">
        <v>684.9</v>
      </c>
      <c r="C134">
        <v>698.5</v>
      </c>
      <c r="D134" s="5">
        <f t="shared" si="3"/>
        <v>2.2777047744196266</v>
      </c>
    </row>
    <row r="135" spans="1:4" x14ac:dyDescent="0.25">
      <c r="A135" s="1">
        <v>45538</v>
      </c>
      <c r="B135">
        <v>707</v>
      </c>
      <c r="C135">
        <v>692.7</v>
      </c>
      <c r="D135" s="5">
        <f t="shared" si="3"/>
        <v>-1.7397454031117334</v>
      </c>
    </row>
    <row r="136" spans="1:4" x14ac:dyDescent="0.25">
      <c r="A136" s="1">
        <v>45537</v>
      </c>
      <c r="B136">
        <v>715.5</v>
      </c>
      <c r="C136">
        <v>705.8</v>
      </c>
      <c r="D136" s="5">
        <f t="shared" si="3"/>
        <v>-1.0761705101327808</v>
      </c>
    </row>
    <row r="137" spans="1:4" x14ac:dyDescent="0.25">
      <c r="A137" s="1">
        <v>45534</v>
      </c>
      <c r="B137">
        <v>723.7</v>
      </c>
      <c r="C137">
        <v>711.15</v>
      </c>
      <c r="D137" s="5">
        <f t="shared" si="3"/>
        <v>-1.4577863755699969</v>
      </c>
    </row>
    <row r="138" spans="1:4" x14ac:dyDescent="0.25">
      <c r="A138" s="1">
        <v>45533</v>
      </c>
      <c r="B138">
        <v>740</v>
      </c>
      <c r="C138">
        <v>720.05</v>
      </c>
      <c r="D138" s="5">
        <f t="shared" si="3"/>
        <v>-2.4256756756756817</v>
      </c>
    </row>
    <row r="139" spans="1:4" x14ac:dyDescent="0.25">
      <c r="A139" s="1">
        <v>45532</v>
      </c>
      <c r="B139">
        <v>734</v>
      </c>
      <c r="C139">
        <v>736.6</v>
      </c>
      <c r="D139" s="5">
        <f t="shared" si="3"/>
        <v>0.62670299727520751</v>
      </c>
    </row>
    <row r="140" spans="1:4" x14ac:dyDescent="0.25">
      <c r="A140" s="1">
        <v>45531</v>
      </c>
      <c r="B140">
        <v>718.9</v>
      </c>
      <c r="C140">
        <v>733.1</v>
      </c>
      <c r="D140" s="5">
        <f t="shared" si="3"/>
        <v>2.2534427597718802</v>
      </c>
    </row>
    <row r="141" spans="1:4" x14ac:dyDescent="0.25">
      <c r="A141" s="1">
        <v>45530</v>
      </c>
      <c r="B141">
        <v>712.6</v>
      </c>
      <c r="C141">
        <v>715.55</v>
      </c>
      <c r="D141" s="5">
        <f t="shared" si="3"/>
        <v>0.6946393488633078</v>
      </c>
    </row>
    <row r="142" spans="1:4" x14ac:dyDescent="0.25">
      <c r="A142" s="1">
        <v>45527</v>
      </c>
      <c r="B142">
        <v>725</v>
      </c>
      <c r="C142">
        <v>703.85</v>
      </c>
      <c r="D142" s="5">
        <f t="shared" si="3"/>
        <v>-2.6413793103448246</v>
      </c>
    </row>
    <row r="143" spans="1:4" x14ac:dyDescent="0.25">
      <c r="A143" s="1">
        <v>45526</v>
      </c>
      <c r="B143">
        <v>719.5</v>
      </c>
      <c r="C143">
        <v>710.7</v>
      </c>
      <c r="D143" s="5">
        <f t="shared" si="3"/>
        <v>-0.94510076441972957</v>
      </c>
    </row>
    <row r="144" spans="1:4" x14ac:dyDescent="0.25">
      <c r="A144" s="1">
        <v>45525</v>
      </c>
      <c r="B144">
        <v>708.5</v>
      </c>
      <c r="C144">
        <v>719.9</v>
      </c>
      <c r="D144" s="5">
        <f t="shared" si="3"/>
        <v>1.8913196894848237</v>
      </c>
    </row>
    <row r="145" spans="1:4" x14ac:dyDescent="0.25">
      <c r="A145" s="1">
        <v>45524</v>
      </c>
      <c r="B145">
        <v>671.35</v>
      </c>
      <c r="C145">
        <v>709.9</v>
      </c>
      <c r="D145" s="5">
        <f t="shared" si="3"/>
        <v>6.0400685186564314</v>
      </c>
    </row>
    <row r="146" spans="1:4" x14ac:dyDescent="0.25">
      <c r="A146" s="1">
        <v>45523</v>
      </c>
      <c r="B146">
        <v>665.1</v>
      </c>
      <c r="C146">
        <v>668.55</v>
      </c>
      <c r="D146" s="5">
        <f t="shared" si="3"/>
        <v>0.81942565027814329</v>
      </c>
    </row>
    <row r="147" spans="1:4" x14ac:dyDescent="0.25">
      <c r="A147" s="1">
        <v>45520</v>
      </c>
      <c r="B147">
        <v>660.1</v>
      </c>
      <c r="C147">
        <v>665.05</v>
      </c>
      <c r="D147" s="5">
        <f t="shared" si="3"/>
        <v>1.0528707771549661</v>
      </c>
    </row>
    <row r="148" spans="1:4" x14ac:dyDescent="0.25">
      <c r="A148" s="1">
        <v>45518</v>
      </c>
      <c r="B148">
        <v>679.15</v>
      </c>
      <c r="C148">
        <v>645.95000000000005</v>
      </c>
      <c r="D148" s="5">
        <f t="shared" si="3"/>
        <v>-4.5939777663255441</v>
      </c>
    </row>
    <row r="149" spans="1:4" x14ac:dyDescent="0.25">
      <c r="A149" s="1">
        <v>45517</v>
      </c>
      <c r="B149">
        <v>690.9</v>
      </c>
      <c r="C149">
        <v>672.55</v>
      </c>
      <c r="D149" s="5">
        <f t="shared" si="3"/>
        <v>-2.3664785062961387</v>
      </c>
    </row>
    <row r="150" spans="1:4" x14ac:dyDescent="0.25">
      <c r="A150" s="1">
        <v>45516</v>
      </c>
      <c r="B150">
        <v>702</v>
      </c>
      <c r="C150">
        <v>689.1</v>
      </c>
      <c r="D150" s="5">
        <f t="shared" si="3"/>
        <v>-1.5527065527065496</v>
      </c>
    </row>
    <row r="151" spans="1:4" x14ac:dyDescent="0.25">
      <c r="A151" s="1">
        <v>45513</v>
      </c>
      <c r="B151">
        <v>706</v>
      </c>
      <c r="C151">
        <v>703</v>
      </c>
      <c r="D151" s="5">
        <f t="shared" si="3"/>
        <v>-0.14164305949008499</v>
      </c>
    </row>
    <row r="152" spans="1:4" x14ac:dyDescent="0.25">
      <c r="A152" s="1">
        <v>45512</v>
      </c>
      <c r="B152">
        <v>690</v>
      </c>
      <c r="C152">
        <v>699.45</v>
      </c>
      <c r="D152" s="5">
        <f t="shared" si="3"/>
        <v>1.6594202898550792</v>
      </c>
    </row>
    <row r="153" spans="1:4" x14ac:dyDescent="0.25">
      <c r="A153" s="1">
        <v>45511</v>
      </c>
      <c r="B153">
        <v>695.5</v>
      </c>
      <c r="C153">
        <v>690</v>
      </c>
      <c r="D153" s="5">
        <f t="shared" si="3"/>
        <v>-0.50323508267433503</v>
      </c>
    </row>
    <row r="154" spans="1:4" x14ac:dyDescent="0.25">
      <c r="A154" s="1">
        <v>45510</v>
      </c>
      <c r="B154">
        <v>689.95</v>
      </c>
      <c r="C154">
        <v>683.4</v>
      </c>
      <c r="D154" s="5">
        <f t="shared" si="3"/>
        <v>-0.6594680773969227</v>
      </c>
    </row>
    <row r="155" spans="1:4" x14ac:dyDescent="0.25">
      <c r="A155" s="1">
        <v>45509</v>
      </c>
      <c r="B155">
        <v>691</v>
      </c>
      <c r="C155">
        <v>684.45</v>
      </c>
      <c r="D155" s="5">
        <f t="shared" si="3"/>
        <v>-0.6584659913169254</v>
      </c>
    </row>
    <row r="156" spans="1:4" x14ac:dyDescent="0.25">
      <c r="A156" s="1">
        <v>45506</v>
      </c>
      <c r="B156">
        <v>735</v>
      </c>
      <c r="C156">
        <v>722.05</v>
      </c>
      <c r="D156" s="5">
        <f t="shared" si="3"/>
        <v>-1.4897959183673533</v>
      </c>
    </row>
    <row r="157" spans="1:4" x14ac:dyDescent="0.25">
      <c r="A157" s="1">
        <v>45505</v>
      </c>
      <c r="B157">
        <v>728.5</v>
      </c>
      <c r="C157">
        <v>727.65</v>
      </c>
      <c r="D157" s="5">
        <f t="shared" si="3"/>
        <v>0.15785861358956449</v>
      </c>
    </row>
    <row r="158" spans="1:4" x14ac:dyDescent="0.25">
      <c r="A158" s="1">
        <v>45504</v>
      </c>
      <c r="B158">
        <v>722</v>
      </c>
      <c r="C158">
        <v>728</v>
      </c>
      <c r="D158" s="5">
        <f t="shared" si="3"/>
        <v>1.10803324099723</v>
      </c>
    </row>
    <row r="159" spans="1:4" x14ac:dyDescent="0.25">
      <c r="A159" s="1">
        <v>45503</v>
      </c>
      <c r="B159">
        <v>692</v>
      </c>
      <c r="C159">
        <v>715.25</v>
      </c>
      <c r="D159" s="5">
        <f t="shared" si="3"/>
        <v>3.648843930635838</v>
      </c>
    </row>
    <row r="160" spans="1:4" x14ac:dyDescent="0.25">
      <c r="A160" s="1">
        <v>45502</v>
      </c>
      <c r="B160">
        <v>698.05</v>
      </c>
      <c r="C160">
        <v>692.25</v>
      </c>
      <c r="D160" s="5">
        <f t="shared" si="3"/>
        <v>-0.54437361220542291</v>
      </c>
    </row>
    <row r="161" spans="1:4" x14ac:dyDescent="0.25">
      <c r="A161" s="1">
        <v>45499</v>
      </c>
      <c r="B161">
        <v>670</v>
      </c>
      <c r="C161">
        <v>693.55</v>
      </c>
      <c r="D161" s="5">
        <f t="shared" si="3"/>
        <v>3.8134328358208887</v>
      </c>
    </row>
    <row r="162" spans="1:4" x14ac:dyDescent="0.25">
      <c r="A162" s="1">
        <v>45498</v>
      </c>
      <c r="B162">
        <v>682.35</v>
      </c>
      <c r="C162">
        <v>668.15</v>
      </c>
      <c r="D162" s="5">
        <f t="shared" si="3"/>
        <v>-1.7879387411152698</v>
      </c>
    </row>
    <row r="163" spans="1:4" x14ac:dyDescent="0.25">
      <c r="A163" s="1">
        <v>45497</v>
      </c>
      <c r="B163">
        <v>699</v>
      </c>
      <c r="C163">
        <v>682.35</v>
      </c>
      <c r="D163" s="5">
        <f t="shared" si="3"/>
        <v>-2.0958512160228868</v>
      </c>
    </row>
    <row r="164" spans="1:4" x14ac:dyDescent="0.25">
      <c r="A164" s="1">
        <v>45496</v>
      </c>
      <c r="B164">
        <v>717.8</v>
      </c>
      <c r="C164">
        <v>697.1</v>
      </c>
      <c r="D164" s="5">
        <f t="shared" si="3"/>
        <v>-2.6051825020897095</v>
      </c>
    </row>
    <row r="165" spans="1:4" x14ac:dyDescent="0.25">
      <c r="A165" s="1">
        <v>45495</v>
      </c>
      <c r="B165">
        <v>717</v>
      </c>
      <c r="C165">
        <v>709.8</v>
      </c>
      <c r="D165" s="5">
        <f t="shared" si="3"/>
        <v>-0.72524407252441359</v>
      </c>
    </row>
    <row r="166" spans="1:4" x14ac:dyDescent="0.25">
      <c r="A166" s="1">
        <v>45492</v>
      </c>
      <c r="B166">
        <v>712.9</v>
      </c>
      <c r="C166">
        <v>705</v>
      </c>
      <c r="D166" s="5">
        <f t="shared" si="3"/>
        <v>-0.82760555477626274</v>
      </c>
    </row>
    <row r="167" spans="1:4" x14ac:dyDescent="0.25">
      <c r="A167" s="1">
        <v>45491</v>
      </c>
      <c r="B167">
        <v>710</v>
      </c>
      <c r="C167">
        <v>712.75</v>
      </c>
      <c r="D167" s="5">
        <f t="shared" si="3"/>
        <v>0.66901408450704225</v>
      </c>
    </row>
    <row r="168" spans="1:4" x14ac:dyDescent="0.25">
      <c r="A168" s="1">
        <v>45489</v>
      </c>
      <c r="B168">
        <v>718.95</v>
      </c>
      <c r="C168">
        <v>708.35</v>
      </c>
      <c r="D168" s="5">
        <f t="shared" si="3"/>
        <v>-1.1961888865706964</v>
      </c>
    </row>
    <row r="169" spans="1:4" x14ac:dyDescent="0.25">
      <c r="A169" s="1">
        <v>45488</v>
      </c>
      <c r="B169">
        <v>721.35</v>
      </c>
      <c r="C169">
        <v>720.45</v>
      </c>
      <c r="D169" s="5">
        <f t="shared" si="3"/>
        <v>0.15249185554862726</v>
      </c>
    </row>
    <row r="170" spans="1:4" x14ac:dyDescent="0.25">
      <c r="A170" s="1">
        <v>45485</v>
      </c>
      <c r="B170">
        <v>715</v>
      </c>
      <c r="C170">
        <v>713.15</v>
      </c>
      <c r="D170" s="5">
        <f t="shared" si="3"/>
        <v>2.0979020979017798E-2</v>
      </c>
    </row>
    <row r="171" spans="1:4" x14ac:dyDescent="0.25">
      <c r="A171" s="1">
        <v>45484</v>
      </c>
      <c r="B171">
        <v>731.7</v>
      </c>
      <c r="C171">
        <v>713</v>
      </c>
      <c r="D171" s="5">
        <f t="shared" si="3"/>
        <v>-2.2823561568949087</v>
      </c>
    </row>
    <row r="172" spans="1:4" x14ac:dyDescent="0.25">
      <c r="A172" s="1">
        <v>45483</v>
      </c>
      <c r="B172">
        <v>727</v>
      </c>
      <c r="C172">
        <v>724.4</v>
      </c>
      <c r="D172" s="5">
        <f t="shared" si="3"/>
        <v>-8.253094910591785E-2</v>
      </c>
    </row>
    <row r="173" spans="1:4" x14ac:dyDescent="0.25">
      <c r="A173" s="1">
        <v>45482</v>
      </c>
      <c r="B173">
        <v>742</v>
      </c>
      <c r="C173">
        <v>723</v>
      </c>
      <c r="D173" s="5">
        <f t="shared" si="3"/>
        <v>-2.2911051212938007</v>
      </c>
    </row>
    <row r="174" spans="1:4" x14ac:dyDescent="0.25">
      <c r="A174" s="1">
        <v>45481</v>
      </c>
      <c r="B174">
        <v>742.8</v>
      </c>
      <c r="C174">
        <v>742.2</v>
      </c>
      <c r="D174" s="5">
        <f t="shared" si="3"/>
        <v>0.18847603661821366</v>
      </c>
    </row>
    <row r="175" spans="1:4" x14ac:dyDescent="0.25">
      <c r="A175" s="1">
        <v>45478</v>
      </c>
      <c r="B175">
        <v>726.95</v>
      </c>
      <c r="C175">
        <v>736.6</v>
      </c>
      <c r="D175" s="5">
        <f t="shared" si="3"/>
        <v>1.6025861476029957</v>
      </c>
    </row>
    <row r="176" spans="1:4" x14ac:dyDescent="0.25">
      <c r="A176" s="1">
        <v>45477</v>
      </c>
      <c r="B176">
        <v>732.7</v>
      </c>
      <c r="C176">
        <v>725.05</v>
      </c>
      <c r="D176" s="5">
        <f t="shared" si="3"/>
        <v>-0.77112051317047781</v>
      </c>
    </row>
    <row r="177" spans="1:4" x14ac:dyDescent="0.25">
      <c r="A177" s="1">
        <v>45476</v>
      </c>
      <c r="B177">
        <v>734</v>
      </c>
      <c r="C177">
        <v>733.15</v>
      </c>
      <c r="D177" s="5">
        <f t="shared" si="3"/>
        <v>0.15667574931879799</v>
      </c>
    </row>
    <row r="178" spans="1:4" x14ac:dyDescent="0.25">
      <c r="A178" s="1">
        <v>45475</v>
      </c>
      <c r="B178">
        <v>750.4</v>
      </c>
      <c r="C178">
        <v>730.5</v>
      </c>
      <c r="D178" s="5">
        <f t="shared" si="3"/>
        <v>-2.3853944562899758</v>
      </c>
    </row>
    <row r="179" spans="1:4" x14ac:dyDescent="0.25">
      <c r="A179" s="1">
        <v>45474</v>
      </c>
      <c r="B179">
        <v>739.85</v>
      </c>
      <c r="C179">
        <v>750.2</v>
      </c>
      <c r="D179" s="5">
        <f t="shared" si="3"/>
        <v>1.6692572818814655</v>
      </c>
    </row>
    <row r="180" spans="1:4" x14ac:dyDescent="0.25">
      <c r="A180" s="1">
        <v>45471</v>
      </c>
      <c r="B180">
        <v>739.25</v>
      </c>
      <c r="C180">
        <v>734.5</v>
      </c>
      <c r="D180" s="5">
        <f t="shared" si="3"/>
        <v>-0.37199864727764625</v>
      </c>
    </row>
    <row r="181" spans="1:4" x14ac:dyDescent="0.25">
      <c r="A181" s="1">
        <v>45470</v>
      </c>
      <c r="B181">
        <v>720</v>
      </c>
      <c r="C181">
        <v>735.55</v>
      </c>
      <c r="D181" s="5">
        <f t="shared" si="3"/>
        <v>2.4374999999999938</v>
      </c>
    </row>
    <row r="182" spans="1:4" x14ac:dyDescent="0.25">
      <c r="A182" s="1">
        <v>45469</v>
      </c>
      <c r="B182">
        <v>723</v>
      </c>
      <c r="C182">
        <v>712.3</v>
      </c>
      <c r="D182" s="5">
        <f t="shared" si="3"/>
        <v>-1.2033195020746952</v>
      </c>
    </row>
    <row r="183" spans="1:4" x14ac:dyDescent="0.25">
      <c r="A183" s="1">
        <v>45468</v>
      </c>
      <c r="B183">
        <v>748</v>
      </c>
      <c r="C183">
        <v>720.1</v>
      </c>
      <c r="D183" s="5">
        <f t="shared" si="3"/>
        <v>-3.4625668449197828</v>
      </c>
    </row>
    <row r="184" spans="1:4" x14ac:dyDescent="0.25">
      <c r="A184" s="1">
        <v>45467</v>
      </c>
      <c r="B184">
        <v>730</v>
      </c>
      <c r="C184">
        <v>747.1</v>
      </c>
      <c r="D184" s="5">
        <f t="shared" si="3"/>
        <v>2.6164383561643865</v>
      </c>
    </row>
    <row r="185" spans="1:4" x14ac:dyDescent="0.25">
      <c r="A185" s="1">
        <v>45464</v>
      </c>
      <c r="B185">
        <v>707.1</v>
      </c>
      <c r="C185">
        <v>723.65</v>
      </c>
      <c r="D185" s="5">
        <f t="shared" si="3"/>
        <v>2.6233913166454466</v>
      </c>
    </row>
    <row r="186" spans="1:4" x14ac:dyDescent="0.25">
      <c r="A186" s="1">
        <v>45463</v>
      </c>
      <c r="B186">
        <v>700.5</v>
      </c>
      <c r="C186">
        <v>707.1</v>
      </c>
      <c r="D186" s="5">
        <f t="shared" si="3"/>
        <v>1.2276945039257705</v>
      </c>
    </row>
    <row r="187" spans="1:4" x14ac:dyDescent="0.25">
      <c r="A187" s="1">
        <v>45462</v>
      </c>
      <c r="B187">
        <v>712.5</v>
      </c>
      <c r="C187">
        <v>698.4</v>
      </c>
      <c r="D187" s="5">
        <f t="shared" si="3"/>
        <v>-1.6982456140350908</v>
      </c>
    </row>
    <row r="188" spans="1:4" x14ac:dyDescent="0.25">
      <c r="A188" s="1">
        <v>45461</v>
      </c>
      <c r="B188">
        <v>694</v>
      </c>
      <c r="C188">
        <v>706.7</v>
      </c>
      <c r="D188" s="5">
        <f t="shared" si="3"/>
        <v>2.1181556195965485</v>
      </c>
    </row>
    <row r="189" spans="1:4" x14ac:dyDescent="0.25">
      <c r="A189" s="1">
        <v>45457</v>
      </c>
      <c r="B189">
        <v>662</v>
      </c>
      <c r="C189">
        <v>683.6</v>
      </c>
      <c r="D189" s="5">
        <f t="shared" si="3"/>
        <v>3.5649546827794594</v>
      </c>
    </row>
    <row r="190" spans="1:4" x14ac:dyDescent="0.25">
      <c r="A190" s="1">
        <v>45456</v>
      </c>
      <c r="B190">
        <v>656.8</v>
      </c>
      <c r="C190">
        <v>659.45</v>
      </c>
      <c r="D190" s="5">
        <f t="shared" si="3"/>
        <v>0.70797807551767522</v>
      </c>
    </row>
    <row r="191" spans="1:4" x14ac:dyDescent="0.25">
      <c r="A191" s="1">
        <v>45455</v>
      </c>
      <c r="B191">
        <v>640</v>
      </c>
      <c r="C191">
        <v>650.25</v>
      </c>
      <c r="D191" s="5">
        <f t="shared" si="3"/>
        <v>1.9140625000000002</v>
      </c>
    </row>
    <row r="192" spans="1:4" x14ac:dyDescent="0.25">
      <c r="A192" s="1">
        <v>45454</v>
      </c>
      <c r="B192">
        <v>632.79999999999995</v>
      </c>
      <c r="C192">
        <v>638</v>
      </c>
      <c r="D192" s="5">
        <f t="shared" si="3"/>
        <v>1.1378002528445079</v>
      </c>
    </row>
    <row r="193" spans="1:4" x14ac:dyDescent="0.25">
      <c r="A193" s="1">
        <v>45453</v>
      </c>
      <c r="B193">
        <v>629.4</v>
      </c>
      <c r="C193">
        <v>629.65</v>
      </c>
      <c r="D193" s="5">
        <f t="shared" si="3"/>
        <v>0.35748331744518591</v>
      </c>
    </row>
    <row r="194" spans="1:4" x14ac:dyDescent="0.25">
      <c r="A194" s="1">
        <v>45450</v>
      </c>
      <c r="B194">
        <v>628.25</v>
      </c>
      <c r="C194">
        <v>625.95000000000005</v>
      </c>
      <c r="D194" s="5">
        <f t="shared" ref="D194:D248" si="4">((C194-B194)+2)/B194*100</f>
        <v>-4.7751691205722965E-2</v>
      </c>
    </row>
    <row r="195" spans="1:4" x14ac:dyDescent="0.25">
      <c r="A195" s="1">
        <v>45449</v>
      </c>
      <c r="B195">
        <v>614.6</v>
      </c>
      <c r="C195">
        <v>625.1</v>
      </c>
      <c r="D195" s="5">
        <f t="shared" si="4"/>
        <v>2.0338431500162706</v>
      </c>
    </row>
    <row r="196" spans="1:4" x14ac:dyDescent="0.25">
      <c r="A196" s="1">
        <v>45448</v>
      </c>
      <c r="B196">
        <v>575.70000000000005</v>
      </c>
      <c r="C196">
        <v>608.54999999999995</v>
      </c>
      <c r="D196" s="5">
        <f t="shared" si="4"/>
        <v>6.0535000868507742</v>
      </c>
    </row>
    <row r="197" spans="1:4" x14ac:dyDescent="0.25">
      <c r="A197" s="1">
        <v>45447</v>
      </c>
      <c r="B197">
        <v>661</v>
      </c>
      <c r="C197">
        <v>553.29999999999995</v>
      </c>
      <c r="D197" s="5">
        <f t="shared" si="4"/>
        <v>-15.990922844175499</v>
      </c>
    </row>
    <row r="198" spans="1:4" x14ac:dyDescent="0.25">
      <c r="A198" s="1">
        <v>45446</v>
      </c>
      <c r="B198">
        <v>644</v>
      </c>
      <c r="C198">
        <v>658.7</v>
      </c>
      <c r="D198" s="5">
        <f t="shared" si="4"/>
        <v>2.5931677018633614</v>
      </c>
    </row>
    <row r="199" spans="1:4" x14ac:dyDescent="0.25">
      <c r="A199" s="1">
        <v>45443</v>
      </c>
      <c r="B199">
        <v>616</v>
      </c>
      <c r="C199">
        <v>613</v>
      </c>
      <c r="D199" s="5">
        <f t="shared" si="4"/>
        <v>-0.16233766233766234</v>
      </c>
    </row>
    <row r="200" spans="1:4" x14ac:dyDescent="0.25">
      <c r="A200" s="1">
        <v>45442</v>
      </c>
      <c r="B200">
        <v>607.20000000000005</v>
      </c>
      <c r="C200">
        <v>609</v>
      </c>
      <c r="D200" s="5">
        <f t="shared" si="4"/>
        <v>0.6258234519104009</v>
      </c>
    </row>
    <row r="201" spans="1:4" x14ac:dyDescent="0.25">
      <c r="A201" s="1">
        <v>45441</v>
      </c>
      <c r="B201">
        <v>615</v>
      </c>
      <c r="C201">
        <v>604.20000000000005</v>
      </c>
      <c r="D201" s="5">
        <f t="shared" si="4"/>
        <v>-1.4308943089430819</v>
      </c>
    </row>
    <row r="202" spans="1:4" x14ac:dyDescent="0.25">
      <c r="A202" s="1">
        <v>45440</v>
      </c>
      <c r="B202">
        <v>624.25</v>
      </c>
      <c r="C202">
        <v>612.95000000000005</v>
      </c>
      <c r="D202" s="5">
        <f t="shared" si="4"/>
        <v>-1.489787745294346</v>
      </c>
    </row>
    <row r="203" spans="1:4" x14ac:dyDescent="0.25">
      <c r="A203" s="1">
        <v>45439</v>
      </c>
      <c r="B203">
        <v>603.79999999999995</v>
      </c>
      <c r="C203">
        <v>621.1</v>
      </c>
      <c r="D203" s="5">
        <f t="shared" si="4"/>
        <v>3.1964226565087892</v>
      </c>
    </row>
    <row r="204" spans="1:4" x14ac:dyDescent="0.25">
      <c r="A204" s="1">
        <v>45436</v>
      </c>
      <c r="B204">
        <v>620</v>
      </c>
      <c r="C204">
        <v>600.65</v>
      </c>
      <c r="D204" s="5">
        <f t="shared" si="4"/>
        <v>-2.7983870967741971</v>
      </c>
    </row>
    <row r="205" spans="1:4" x14ac:dyDescent="0.25">
      <c r="A205" s="1">
        <v>45435</v>
      </c>
      <c r="B205">
        <v>611.9</v>
      </c>
      <c r="C205">
        <v>617.45000000000005</v>
      </c>
      <c r="D205" s="5">
        <f t="shared" si="4"/>
        <v>1.2338617421147358</v>
      </c>
    </row>
    <row r="206" spans="1:4" x14ac:dyDescent="0.25">
      <c r="A206" s="1">
        <v>45434</v>
      </c>
      <c r="B206">
        <v>606.95000000000005</v>
      </c>
      <c r="C206">
        <v>609.45000000000005</v>
      </c>
      <c r="D206" s="5">
        <f t="shared" si="4"/>
        <v>0.74141197792239888</v>
      </c>
    </row>
    <row r="207" spans="1:4" x14ac:dyDescent="0.25">
      <c r="A207" s="1">
        <v>45433</v>
      </c>
      <c r="B207">
        <v>599.9</v>
      </c>
      <c r="C207">
        <v>603.9</v>
      </c>
      <c r="D207" s="5">
        <f t="shared" si="4"/>
        <v>1.0001666944490748</v>
      </c>
    </row>
    <row r="208" spans="1:4" x14ac:dyDescent="0.25">
      <c r="A208" s="1">
        <v>45430</v>
      </c>
      <c r="B208">
        <v>593.75</v>
      </c>
      <c r="C208">
        <v>597.75</v>
      </c>
      <c r="D208" s="5">
        <f t="shared" si="4"/>
        <v>1.0105263157894737</v>
      </c>
    </row>
    <row r="209" spans="1:4" x14ac:dyDescent="0.25">
      <c r="A209" s="1">
        <v>45429</v>
      </c>
      <c r="B209">
        <v>595.95000000000005</v>
      </c>
      <c r="C209">
        <v>593.9</v>
      </c>
      <c r="D209" s="5">
        <f t="shared" si="4"/>
        <v>-8.3899656011524812E-3</v>
      </c>
    </row>
    <row r="210" spans="1:4" x14ac:dyDescent="0.25">
      <c r="A210" s="1">
        <v>45428</v>
      </c>
      <c r="B210">
        <v>604.1</v>
      </c>
      <c r="C210">
        <v>594.15</v>
      </c>
      <c r="D210" s="5">
        <f t="shared" si="4"/>
        <v>-1.3160072835623315</v>
      </c>
    </row>
    <row r="211" spans="1:4" x14ac:dyDescent="0.25">
      <c r="A211" s="1">
        <v>45427</v>
      </c>
      <c r="B211">
        <v>605</v>
      </c>
      <c r="C211">
        <v>598.04999999999995</v>
      </c>
      <c r="D211" s="5">
        <f t="shared" si="4"/>
        <v>-0.81818181818182567</v>
      </c>
    </row>
    <row r="212" spans="1:4" x14ac:dyDescent="0.25">
      <c r="A212" s="1">
        <v>45426</v>
      </c>
      <c r="B212">
        <v>577.85</v>
      </c>
      <c r="C212">
        <v>599.70000000000005</v>
      </c>
      <c r="D212" s="5">
        <f t="shared" si="4"/>
        <v>4.1273686942978314</v>
      </c>
    </row>
    <row r="213" spans="1:4" x14ac:dyDescent="0.25">
      <c r="A213" s="1">
        <v>45425</v>
      </c>
      <c r="B213">
        <v>570.25</v>
      </c>
      <c r="C213">
        <v>574.4</v>
      </c>
      <c r="D213" s="5">
        <f t="shared" si="4"/>
        <v>1.0784743533537882</v>
      </c>
    </row>
    <row r="214" spans="1:4" x14ac:dyDescent="0.25">
      <c r="A214" s="1">
        <v>45422</v>
      </c>
      <c r="B214">
        <v>538</v>
      </c>
      <c r="C214">
        <v>570.25</v>
      </c>
      <c r="D214" s="5">
        <f t="shared" si="4"/>
        <v>6.3661710037174721</v>
      </c>
    </row>
    <row r="215" spans="1:4" x14ac:dyDescent="0.25">
      <c r="A215" s="1">
        <v>45421</v>
      </c>
      <c r="B215">
        <v>566</v>
      </c>
      <c r="C215">
        <v>530.95000000000005</v>
      </c>
      <c r="D215" s="5">
        <f t="shared" si="4"/>
        <v>-5.8392226148409812</v>
      </c>
    </row>
    <row r="216" spans="1:4" x14ac:dyDescent="0.25">
      <c r="A216" s="1">
        <v>45420</v>
      </c>
      <c r="B216">
        <v>592</v>
      </c>
      <c r="C216">
        <v>557.25</v>
      </c>
      <c r="D216" s="5">
        <f t="shared" si="4"/>
        <v>-5.5320945945945947</v>
      </c>
    </row>
    <row r="217" spans="1:4" x14ac:dyDescent="0.25">
      <c r="A217" s="1">
        <v>45419</v>
      </c>
      <c r="B217">
        <v>619.75</v>
      </c>
      <c r="C217">
        <v>584.04999999999995</v>
      </c>
      <c r="D217" s="5">
        <f t="shared" si="4"/>
        <v>-5.4376764824526092</v>
      </c>
    </row>
    <row r="218" spans="1:4" x14ac:dyDescent="0.25">
      <c r="A218" s="1">
        <v>45418</v>
      </c>
      <c r="B218">
        <v>642.25</v>
      </c>
      <c r="C218">
        <v>617.54999999999995</v>
      </c>
      <c r="D218" s="5">
        <f t="shared" si="4"/>
        <v>-3.5344492020241409</v>
      </c>
    </row>
    <row r="219" spans="1:4" x14ac:dyDescent="0.25">
      <c r="A219" s="1">
        <v>45415</v>
      </c>
      <c r="B219">
        <v>638.25</v>
      </c>
      <c r="C219">
        <v>642.20000000000005</v>
      </c>
      <c r="D219" s="5">
        <f t="shared" si="4"/>
        <v>0.9322365844105045</v>
      </c>
    </row>
    <row r="220" spans="1:4" x14ac:dyDescent="0.25">
      <c r="A220" s="1">
        <v>45414</v>
      </c>
      <c r="B220">
        <v>632.1</v>
      </c>
      <c r="C220">
        <v>638.25</v>
      </c>
      <c r="D220" s="5">
        <f t="shared" si="4"/>
        <v>1.289352950482515</v>
      </c>
    </row>
    <row r="221" spans="1:4" x14ac:dyDescent="0.25">
      <c r="A221" s="1">
        <v>45412</v>
      </c>
      <c r="B221">
        <v>605.70000000000005</v>
      </c>
      <c r="C221">
        <v>629.54999999999995</v>
      </c>
      <c r="D221" s="5">
        <f t="shared" si="4"/>
        <v>4.267789334654104</v>
      </c>
    </row>
    <row r="222" spans="1:4" x14ac:dyDescent="0.25">
      <c r="A222" s="1">
        <v>45411</v>
      </c>
      <c r="B222">
        <v>603.95000000000005</v>
      </c>
      <c r="C222">
        <v>603.29999999999995</v>
      </c>
      <c r="D222" s="5">
        <f t="shared" si="4"/>
        <v>0.22352843778456977</v>
      </c>
    </row>
    <row r="223" spans="1:4" x14ac:dyDescent="0.25">
      <c r="A223" s="1">
        <v>45408</v>
      </c>
      <c r="B223">
        <v>605.95000000000005</v>
      </c>
      <c r="C223">
        <v>600.9</v>
      </c>
      <c r="D223" s="5">
        <f t="shared" si="4"/>
        <v>-0.50334185988944102</v>
      </c>
    </row>
    <row r="224" spans="1:4" x14ac:dyDescent="0.25">
      <c r="A224" s="1">
        <v>45407</v>
      </c>
      <c r="B224">
        <v>603</v>
      </c>
      <c r="C224">
        <v>604.70000000000005</v>
      </c>
      <c r="D224" s="5">
        <f t="shared" si="4"/>
        <v>0.61359867330017337</v>
      </c>
    </row>
    <row r="225" spans="1:4" x14ac:dyDescent="0.25">
      <c r="A225" s="1">
        <v>45406</v>
      </c>
      <c r="B225">
        <v>619.95000000000005</v>
      </c>
      <c r="C225">
        <v>600.4</v>
      </c>
      <c r="D225" s="5">
        <f t="shared" si="4"/>
        <v>-2.8308734575369088</v>
      </c>
    </row>
    <row r="226" spans="1:4" x14ac:dyDescent="0.25">
      <c r="A226" s="1">
        <v>45405</v>
      </c>
      <c r="B226">
        <v>616.25</v>
      </c>
      <c r="C226">
        <v>616.35</v>
      </c>
      <c r="D226" s="5">
        <f t="shared" si="4"/>
        <v>0.34077079107505437</v>
      </c>
    </row>
    <row r="227" spans="1:4" x14ac:dyDescent="0.25">
      <c r="A227" s="1">
        <v>45404</v>
      </c>
      <c r="B227">
        <v>650</v>
      </c>
      <c r="C227">
        <v>611.45000000000005</v>
      </c>
      <c r="D227" s="5">
        <f t="shared" si="4"/>
        <v>-5.6230769230769164</v>
      </c>
    </row>
    <row r="228" spans="1:4" x14ac:dyDescent="0.25">
      <c r="A228" s="1">
        <v>45401</v>
      </c>
      <c r="B228">
        <v>622</v>
      </c>
      <c r="C228">
        <v>626.70000000000005</v>
      </c>
      <c r="D228" s="5">
        <f t="shared" si="4"/>
        <v>1.0771704180064381</v>
      </c>
    </row>
    <row r="229" spans="1:4" x14ac:dyDescent="0.25">
      <c r="A229" s="1">
        <v>45400</v>
      </c>
      <c r="B229">
        <v>602.04999999999995</v>
      </c>
      <c r="C229">
        <v>628.5</v>
      </c>
      <c r="D229" s="5">
        <f t="shared" si="4"/>
        <v>4.725521136118271</v>
      </c>
    </row>
    <row r="230" spans="1:4" x14ac:dyDescent="0.25">
      <c r="A230" s="1">
        <v>45398</v>
      </c>
      <c r="B230">
        <v>606</v>
      </c>
      <c r="C230">
        <v>602.04999999999995</v>
      </c>
      <c r="D230" s="5">
        <f t="shared" si="4"/>
        <v>-0.32178217821782928</v>
      </c>
    </row>
    <row r="231" spans="1:4" x14ac:dyDescent="0.25">
      <c r="A231" s="1">
        <v>45397</v>
      </c>
      <c r="B231">
        <v>591.20000000000005</v>
      </c>
      <c r="C231">
        <v>609.5</v>
      </c>
      <c r="D231" s="5">
        <f t="shared" si="4"/>
        <v>3.4336941813261088</v>
      </c>
    </row>
    <row r="232" spans="1:4" x14ac:dyDescent="0.25">
      <c r="A232" s="1">
        <v>45394</v>
      </c>
      <c r="B232">
        <v>617</v>
      </c>
      <c r="C232">
        <v>616.45000000000005</v>
      </c>
      <c r="D232" s="5">
        <f t="shared" si="4"/>
        <v>0.23500810372772213</v>
      </c>
    </row>
    <row r="233" spans="1:4" x14ac:dyDescent="0.25">
      <c r="A233" s="1">
        <v>45392</v>
      </c>
      <c r="B233">
        <v>615.5</v>
      </c>
      <c r="C233">
        <v>616.04999999999995</v>
      </c>
      <c r="D233" s="5">
        <f t="shared" si="4"/>
        <v>0.41429731925263275</v>
      </c>
    </row>
    <row r="234" spans="1:4" x14ac:dyDescent="0.25">
      <c r="A234" s="1">
        <v>45391</v>
      </c>
      <c r="B234">
        <v>630</v>
      </c>
      <c r="C234">
        <v>613.1</v>
      </c>
      <c r="D234" s="5">
        <f t="shared" si="4"/>
        <v>-2.3650793650793611</v>
      </c>
    </row>
    <row r="235" spans="1:4" x14ac:dyDescent="0.25">
      <c r="A235" s="1">
        <v>45390</v>
      </c>
      <c r="B235">
        <v>602</v>
      </c>
      <c r="C235">
        <v>627.5</v>
      </c>
      <c r="D235" s="5">
        <f t="shared" si="4"/>
        <v>4.5681063122923593</v>
      </c>
    </row>
    <row r="236" spans="1:4" x14ac:dyDescent="0.25">
      <c r="A236" s="1">
        <v>45387</v>
      </c>
      <c r="B236">
        <v>583.79999999999995</v>
      </c>
      <c r="C236">
        <v>599.1</v>
      </c>
      <c r="D236" s="5">
        <f t="shared" si="4"/>
        <v>2.9633436108256372</v>
      </c>
    </row>
    <row r="237" spans="1:4" x14ac:dyDescent="0.25">
      <c r="A237" s="1">
        <v>45386</v>
      </c>
      <c r="B237">
        <v>582</v>
      </c>
      <c r="C237">
        <v>583.04999999999995</v>
      </c>
      <c r="D237" s="5">
        <f t="shared" si="4"/>
        <v>0.52405498281786156</v>
      </c>
    </row>
    <row r="238" spans="1:4" x14ac:dyDescent="0.25">
      <c r="A238" s="1">
        <v>45385</v>
      </c>
      <c r="B238">
        <v>547</v>
      </c>
      <c r="C238">
        <v>581.35</v>
      </c>
      <c r="D238" s="5">
        <f t="shared" si="4"/>
        <v>6.6453382084095107</v>
      </c>
    </row>
    <row r="239" spans="1:4" x14ac:dyDescent="0.25">
      <c r="A239" s="1">
        <v>45384</v>
      </c>
      <c r="B239">
        <v>519.54999999999995</v>
      </c>
      <c r="C239">
        <v>542.20000000000005</v>
      </c>
      <c r="D239" s="5">
        <f t="shared" si="4"/>
        <v>4.7444904244057531</v>
      </c>
    </row>
    <row r="240" spans="1:4" x14ac:dyDescent="0.25">
      <c r="A240" s="1">
        <v>45383</v>
      </c>
      <c r="B240">
        <v>533</v>
      </c>
      <c r="C240">
        <v>518.45000000000005</v>
      </c>
      <c r="D240" s="5">
        <f t="shared" si="4"/>
        <v>-2.3545966228892974</v>
      </c>
    </row>
    <row r="241" spans="1:4" x14ac:dyDescent="0.25">
      <c r="A241" s="1">
        <v>45379</v>
      </c>
      <c r="B241">
        <v>524.95000000000005</v>
      </c>
      <c r="C241">
        <v>528.9</v>
      </c>
      <c r="D241" s="5">
        <f t="shared" si="4"/>
        <v>1.1334412801219031</v>
      </c>
    </row>
    <row r="242" spans="1:4" x14ac:dyDescent="0.25">
      <c r="A242" s="1">
        <v>45378</v>
      </c>
      <c r="B242">
        <v>513.29999999999995</v>
      </c>
      <c r="C242">
        <v>516.65</v>
      </c>
      <c r="D242" s="5">
        <f t="shared" si="4"/>
        <v>1.0422754724332794</v>
      </c>
    </row>
    <row r="243" spans="1:4" x14ac:dyDescent="0.25">
      <c r="A243" s="1">
        <v>45377</v>
      </c>
      <c r="B243">
        <v>520.95000000000005</v>
      </c>
      <c r="C243">
        <v>513.20000000000005</v>
      </c>
      <c r="D243" s="5">
        <f t="shared" si="4"/>
        <v>-1.1037527593818983</v>
      </c>
    </row>
    <row r="244" spans="1:4" x14ac:dyDescent="0.25">
      <c r="A244" s="1">
        <v>45373</v>
      </c>
      <c r="B244">
        <v>504.8</v>
      </c>
      <c r="C244">
        <v>515.45000000000005</v>
      </c>
      <c r="D244" s="5">
        <f t="shared" si="4"/>
        <v>2.5059429477020672</v>
      </c>
    </row>
    <row r="245" spans="1:4" x14ac:dyDescent="0.25">
      <c r="A245" s="1">
        <v>45372</v>
      </c>
      <c r="B245">
        <v>494.5</v>
      </c>
      <c r="C245">
        <v>504.55</v>
      </c>
      <c r="D245" s="5">
        <f t="shared" si="4"/>
        <v>2.4368048533872622</v>
      </c>
    </row>
    <row r="246" spans="1:4" x14ac:dyDescent="0.25">
      <c r="A246" s="1">
        <v>45371</v>
      </c>
      <c r="B246">
        <v>482</v>
      </c>
      <c r="C246">
        <v>489.15</v>
      </c>
      <c r="D246" s="5">
        <f t="shared" si="4"/>
        <v>1.8983402489626509</v>
      </c>
    </row>
    <row r="247" spans="1:4" x14ac:dyDescent="0.25">
      <c r="A247" s="1">
        <v>45370</v>
      </c>
      <c r="B247">
        <v>487.95</v>
      </c>
      <c r="C247">
        <v>482.8</v>
      </c>
      <c r="D247" s="5">
        <f t="shared" si="4"/>
        <v>-0.64555794651090836</v>
      </c>
    </row>
    <row r="248" spans="1:4" x14ac:dyDescent="0.25">
      <c r="A248" s="1">
        <v>45369</v>
      </c>
      <c r="B248">
        <v>500</v>
      </c>
      <c r="C248">
        <v>495.4</v>
      </c>
      <c r="D248" s="5">
        <f t="shared" si="4"/>
        <v>-0.52000000000000457</v>
      </c>
    </row>
  </sheetData>
  <mergeCells count="3">
    <mergeCell ref="H1:I1"/>
    <mergeCell ref="H25:J25"/>
    <mergeCell ref="H27:J27"/>
  </mergeCells>
  <conditionalFormatting sqref="I2:I21">
    <cfRule type="colorScale" priority="2">
      <colorScale>
        <cfvo type="min"/>
        <cfvo type="max"/>
        <color rgb="FFFFEF9C"/>
        <color rgb="FF63BE7B"/>
      </colorScale>
    </cfRule>
  </conditionalFormatting>
  <conditionalFormatting sqref="D1:D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DD80-87BE-4310-86D0-199CA2C85671}">
  <dimension ref="A1:J248"/>
  <sheetViews>
    <sheetView workbookViewId="0">
      <selection activeCell="L242" sqref="L242"/>
    </sheetView>
  </sheetViews>
  <sheetFormatPr defaultRowHeight="15" x14ac:dyDescent="0.25"/>
  <cols>
    <col min="1" max="1" width="12" customWidth="1"/>
    <col min="2" max="2" width="8.140625" customWidth="1"/>
    <col min="4" max="4" width="15.85546875" style="15" bestFit="1" customWidth="1"/>
    <col min="7" max="7" width="17.5703125" style="17" bestFit="1" customWidth="1"/>
    <col min="9" max="9" width="32.140625" bestFit="1" customWidth="1"/>
  </cols>
  <sheetData>
    <row r="1" spans="1:10" x14ac:dyDescent="0.25">
      <c r="A1" s="61" t="s">
        <v>0</v>
      </c>
      <c r="B1" s="61" t="s">
        <v>11</v>
      </c>
      <c r="D1" s="14" t="s">
        <v>48</v>
      </c>
      <c r="G1" s="4" t="s">
        <v>52</v>
      </c>
    </row>
    <row r="2" spans="1:10" x14ac:dyDescent="0.25">
      <c r="A2" s="1">
        <v>45729</v>
      </c>
      <c r="B2">
        <v>514.1</v>
      </c>
      <c r="D2" s="3">
        <f>B2-2</f>
        <v>512.1</v>
      </c>
    </row>
    <row r="3" spans="1:10" x14ac:dyDescent="0.25">
      <c r="A3" s="1">
        <v>45728</v>
      </c>
      <c r="B3">
        <v>515.20000000000005</v>
      </c>
      <c r="D3" s="3">
        <f t="shared" ref="D3:D66" si="0">B3-2</f>
        <v>513.20000000000005</v>
      </c>
      <c r="G3" s="18">
        <f>(D3/D2)-1</f>
        <v>2.1480179652411113E-3</v>
      </c>
    </row>
    <row r="4" spans="1:10" x14ac:dyDescent="0.25">
      <c r="A4" s="1">
        <v>45727</v>
      </c>
      <c r="B4">
        <v>513.75</v>
      </c>
      <c r="D4" s="3">
        <f t="shared" si="0"/>
        <v>511.75</v>
      </c>
      <c r="G4" s="18">
        <f t="shared" ref="G4:G67" si="1">(D4/D3)-1</f>
        <v>-2.8254091971942064E-3</v>
      </c>
      <c r="I4" s="13" t="s">
        <v>227</v>
      </c>
      <c r="J4" s="12">
        <f>AVERAGE(G3:G248)</f>
        <v>2.7903943488771202E-4</v>
      </c>
    </row>
    <row r="5" spans="1:10" x14ac:dyDescent="0.25">
      <c r="A5" s="1">
        <v>45726</v>
      </c>
      <c r="B5">
        <v>505.35</v>
      </c>
      <c r="D5" s="3">
        <f t="shared" si="0"/>
        <v>503.35</v>
      </c>
      <c r="G5" s="18">
        <f t="shared" si="1"/>
        <v>-1.6414264777723453E-2</v>
      </c>
      <c r="I5" s="13" t="s">
        <v>51</v>
      </c>
      <c r="J5" s="12">
        <f>_xlfn.STDEV.P(G3:G248)</f>
        <v>2.9540377494867289E-2</v>
      </c>
    </row>
    <row r="6" spans="1:10" x14ac:dyDescent="0.25">
      <c r="A6" s="1">
        <v>45723</v>
      </c>
      <c r="B6">
        <v>491.7</v>
      </c>
      <c r="D6" s="3">
        <f t="shared" si="0"/>
        <v>489.7</v>
      </c>
      <c r="G6" s="18">
        <f t="shared" si="1"/>
        <v>-2.711830734081655E-2</v>
      </c>
      <c r="I6" s="13" t="s">
        <v>50</v>
      </c>
      <c r="J6" s="12">
        <f>_xlfn.VAR.P(G3:G248)</f>
        <v>8.7263390253926191E-4</v>
      </c>
    </row>
    <row r="7" spans="1:10" x14ac:dyDescent="0.25">
      <c r="A7" s="1">
        <v>45722</v>
      </c>
      <c r="B7">
        <v>499.6</v>
      </c>
      <c r="D7" s="3">
        <f t="shared" si="0"/>
        <v>497.6</v>
      </c>
      <c r="G7" s="18">
        <f t="shared" si="1"/>
        <v>1.6132325913824852E-2</v>
      </c>
    </row>
    <row r="8" spans="1:10" x14ac:dyDescent="0.25">
      <c r="A8" s="1">
        <v>45721</v>
      </c>
      <c r="B8">
        <v>509.1</v>
      </c>
      <c r="D8" s="3">
        <f t="shared" si="0"/>
        <v>507.1</v>
      </c>
      <c r="G8" s="18">
        <f t="shared" si="1"/>
        <v>1.9091639871382737E-2</v>
      </c>
    </row>
    <row r="9" spans="1:10" x14ac:dyDescent="0.25">
      <c r="A9" s="1">
        <v>45720</v>
      </c>
      <c r="B9">
        <v>481.25</v>
      </c>
      <c r="D9" s="3">
        <f t="shared" si="0"/>
        <v>479.25</v>
      </c>
      <c r="G9" s="18">
        <f t="shared" si="1"/>
        <v>-5.4920134095839179E-2</v>
      </c>
    </row>
    <row r="10" spans="1:10" x14ac:dyDescent="0.25">
      <c r="A10" s="1">
        <v>45719</v>
      </c>
      <c r="B10">
        <v>473.85</v>
      </c>
      <c r="D10" s="3">
        <f t="shared" si="0"/>
        <v>471.85</v>
      </c>
      <c r="G10" s="18">
        <f t="shared" si="1"/>
        <v>-1.5440792905581535E-2</v>
      </c>
    </row>
    <row r="11" spans="1:10" x14ac:dyDescent="0.25">
      <c r="A11" s="1">
        <v>45716</v>
      </c>
      <c r="B11">
        <v>464.1</v>
      </c>
      <c r="D11" s="3">
        <f t="shared" si="0"/>
        <v>462.1</v>
      </c>
      <c r="G11" s="18">
        <f t="shared" si="1"/>
        <v>-2.0663346402458371E-2</v>
      </c>
    </row>
    <row r="12" spans="1:10" x14ac:dyDescent="0.25">
      <c r="A12" s="1">
        <v>45715</v>
      </c>
      <c r="B12">
        <v>458.8</v>
      </c>
      <c r="D12" s="3">
        <f t="shared" si="0"/>
        <v>456.8</v>
      </c>
      <c r="G12" s="18">
        <f t="shared" si="1"/>
        <v>-1.1469378922311257E-2</v>
      </c>
    </row>
    <row r="13" spans="1:10" x14ac:dyDescent="0.25">
      <c r="A13" s="1">
        <v>45713</v>
      </c>
      <c r="B13">
        <v>467.25</v>
      </c>
      <c r="D13" s="3">
        <f t="shared" si="0"/>
        <v>465.25</v>
      </c>
      <c r="G13" s="18">
        <f t="shared" si="1"/>
        <v>1.849824868651484E-2</v>
      </c>
    </row>
    <row r="14" spans="1:10" x14ac:dyDescent="0.25">
      <c r="A14" s="1">
        <v>45712</v>
      </c>
      <c r="B14">
        <v>479.7</v>
      </c>
      <c r="D14" s="3">
        <f t="shared" si="0"/>
        <v>477.7</v>
      </c>
      <c r="G14" s="18">
        <f t="shared" si="1"/>
        <v>2.6759806555615162E-2</v>
      </c>
    </row>
    <row r="15" spans="1:10" x14ac:dyDescent="0.25">
      <c r="A15" s="1">
        <v>45709</v>
      </c>
      <c r="B15">
        <v>496.6</v>
      </c>
      <c r="D15" s="3">
        <f t="shared" si="0"/>
        <v>494.6</v>
      </c>
      <c r="G15" s="18">
        <f t="shared" si="1"/>
        <v>3.5377852208499094E-2</v>
      </c>
    </row>
    <row r="16" spans="1:10" x14ac:dyDescent="0.25">
      <c r="A16" s="1">
        <v>45708</v>
      </c>
      <c r="B16">
        <v>468.55</v>
      </c>
      <c r="D16" s="3">
        <f t="shared" si="0"/>
        <v>466.55</v>
      </c>
      <c r="G16" s="18">
        <f t="shared" si="1"/>
        <v>-5.6712494945410419E-2</v>
      </c>
    </row>
    <row r="17" spans="1:7" x14ac:dyDescent="0.25">
      <c r="A17" s="1">
        <v>45707</v>
      </c>
      <c r="B17">
        <v>454.85</v>
      </c>
      <c r="D17" s="3">
        <f t="shared" si="0"/>
        <v>452.85</v>
      </c>
      <c r="G17" s="18">
        <f t="shared" si="1"/>
        <v>-2.9364483978137401E-2</v>
      </c>
    </row>
    <row r="18" spans="1:7" x14ac:dyDescent="0.25">
      <c r="A18" s="1">
        <v>45706</v>
      </c>
      <c r="B18">
        <v>440.4</v>
      </c>
      <c r="D18" s="3">
        <f t="shared" si="0"/>
        <v>438.4</v>
      </c>
      <c r="G18" s="18">
        <f t="shared" si="1"/>
        <v>-3.1909020647013508E-2</v>
      </c>
    </row>
    <row r="19" spans="1:7" x14ac:dyDescent="0.25">
      <c r="A19" s="1">
        <v>45705</v>
      </c>
      <c r="B19">
        <v>431.5</v>
      </c>
      <c r="D19" s="3">
        <f t="shared" si="0"/>
        <v>429.5</v>
      </c>
      <c r="G19" s="18">
        <f t="shared" si="1"/>
        <v>-2.0301094890510907E-2</v>
      </c>
    </row>
    <row r="20" spans="1:7" x14ac:dyDescent="0.25">
      <c r="A20" s="1">
        <v>45702</v>
      </c>
      <c r="B20">
        <v>437.1</v>
      </c>
      <c r="D20" s="3">
        <f t="shared" si="0"/>
        <v>435.1</v>
      </c>
      <c r="G20" s="18">
        <f t="shared" si="1"/>
        <v>1.3038416763678784E-2</v>
      </c>
    </row>
    <row r="21" spans="1:7" x14ac:dyDescent="0.25">
      <c r="A21" s="1">
        <v>45701</v>
      </c>
      <c r="B21">
        <v>467.65</v>
      </c>
      <c r="D21" s="3">
        <f t="shared" si="0"/>
        <v>465.65</v>
      </c>
      <c r="G21" s="18">
        <f t="shared" si="1"/>
        <v>7.0213743966903941E-2</v>
      </c>
    </row>
    <row r="22" spans="1:7" x14ac:dyDescent="0.25">
      <c r="A22" s="1">
        <v>45700</v>
      </c>
      <c r="B22">
        <v>467.6</v>
      </c>
      <c r="D22" s="3">
        <f t="shared" si="0"/>
        <v>465.6</v>
      </c>
      <c r="G22" s="18">
        <f t="shared" si="1"/>
        <v>-1.0737678513894622E-4</v>
      </c>
    </row>
    <row r="23" spans="1:7" x14ac:dyDescent="0.25">
      <c r="A23" s="1">
        <v>45699</v>
      </c>
      <c r="B23">
        <v>466.9</v>
      </c>
      <c r="D23" s="3">
        <f t="shared" si="0"/>
        <v>464.9</v>
      </c>
      <c r="G23" s="18">
        <f t="shared" si="1"/>
        <v>-1.5034364261169442E-3</v>
      </c>
    </row>
    <row r="24" spans="1:7" x14ac:dyDescent="0.25">
      <c r="A24" s="1">
        <v>45698</v>
      </c>
      <c r="B24">
        <v>476.9</v>
      </c>
      <c r="D24" s="3">
        <f t="shared" si="0"/>
        <v>474.9</v>
      </c>
      <c r="G24" s="18">
        <f t="shared" si="1"/>
        <v>2.1510002151000185E-2</v>
      </c>
    </row>
    <row r="25" spans="1:7" x14ac:dyDescent="0.25">
      <c r="A25" s="1">
        <v>45695</v>
      </c>
      <c r="B25">
        <v>484.65</v>
      </c>
      <c r="D25" s="3">
        <f t="shared" si="0"/>
        <v>482.65</v>
      </c>
      <c r="G25" s="18">
        <f t="shared" si="1"/>
        <v>1.631922510002104E-2</v>
      </c>
    </row>
    <row r="26" spans="1:7" x14ac:dyDescent="0.25">
      <c r="A26" s="1">
        <v>45694</v>
      </c>
      <c r="B26">
        <v>494.2</v>
      </c>
      <c r="D26" s="3">
        <f t="shared" si="0"/>
        <v>492.2</v>
      </c>
      <c r="G26" s="18">
        <f t="shared" si="1"/>
        <v>1.9786594840982108E-2</v>
      </c>
    </row>
    <row r="27" spans="1:7" x14ac:dyDescent="0.25">
      <c r="A27" s="1">
        <v>45693</v>
      </c>
      <c r="B27">
        <v>493.8</v>
      </c>
      <c r="D27" s="3">
        <f t="shared" si="0"/>
        <v>491.8</v>
      </c>
      <c r="G27" s="18">
        <f t="shared" si="1"/>
        <v>-8.1267777326288204E-4</v>
      </c>
    </row>
    <row r="28" spans="1:7" x14ac:dyDescent="0.25">
      <c r="A28" s="1">
        <v>45692</v>
      </c>
      <c r="B28">
        <v>469.7</v>
      </c>
      <c r="D28" s="3">
        <f t="shared" si="0"/>
        <v>467.7</v>
      </c>
      <c r="G28" s="18">
        <f t="shared" si="1"/>
        <v>-4.9003660024400153E-2</v>
      </c>
    </row>
    <row r="29" spans="1:7" x14ac:dyDescent="0.25">
      <c r="A29" s="1">
        <v>45691</v>
      </c>
      <c r="B29">
        <v>445.65</v>
      </c>
      <c r="D29" s="3">
        <f t="shared" si="0"/>
        <v>443.65</v>
      </c>
      <c r="G29" s="18">
        <f t="shared" si="1"/>
        <v>-5.1421851614282699E-2</v>
      </c>
    </row>
    <row r="30" spans="1:7" x14ac:dyDescent="0.25">
      <c r="A30" s="1">
        <v>45689</v>
      </c>
      <c r="B30">
        <v>472</v>
      </c>
      <c r="D30" s="3">
        <f t="shared" si="0"/>
        <v>470</v>
      </c>
      <c r="G30" s="18">
        <f t="shared" si="1"/>
        <v>5.9393666178293669E-2</v>
      </c>
    </row>
    <row r="31" spans="1:7" x14ac:dyDescent="0.25">
      <c r="A31" s="1">
        <v>45688</v>
      </c>
      <c r="B31">
        <v>508.6</v>
      </c>
      <c r="D31" s="3">
        <f t="shared" si="0"/>
        <v>506.6</v>
      </c>
      <c r="G31" s="18">
        <f t="shared" si="1"/>
        <v>7.7872340425531927E-2</v>
      </c>
    </row>
    <row r="32" spans="1:7" x14ac:dyDescent="0.25">
      <c r="A32" s="1">
        <v>45687</v>
      </c>
      <c r="B32">
        <v>483.85</v>
      </c>
      <c r="D32" s="3">
        <f t="shared" si="0"/>
        <v>481.85</v>
      </c>
      <c r="G32" s="18">
        <f t="shared" si="1"/>
        <v>-4.8855112514804566E-2</v>
      </c>
    </row>
    <row r="33" spans="1:7" x14ac:dyDescent="0.25">
      <c r="A33" s="1">
        <v>45686</v>
      </c>
      <c r="B33">
        <v>474.75</v>
      </c>
      <c r="D33" s="3">
        <f t="shared" si="0"/>
        <v>472.75</v>
      </c>
      <c r="G33" s="18">
        <f t="shared" si="1"/>
        <v>-1.8885545294178741E-2</v>
      </c>
    </row>
    <row r="34" spans="1:7" x14ac:dyDescent="0.25">
      <c r="A34" s="1">
        <v>45685</v>
      </c>
      <c r="B34">
        <v>504</v>
      </c>
      <c r="D34" s="3">
        <f t="shared" si="0"/>
        <v>502</v>
      </c>
      <c r="G34" s="18">
        <f t="shared" si="1"/>
        <v>6.1872025383395091E-2</v>
      </c>
    </row>
    <row r="35" spans="1:7" x14ac:dyDescent="0.25">
      <c r="A35" s="1">
        <v>45684</v>
      </c>
      <c r="B35">
        <v>534.35</v>
      </c>
      <c r="D35" s="3">
        <f t="shared" si="0"/>
        <v>532.35</v>
      </c>
      <c r="G35" s="18">
        <f t="shared" si="1"/>
        <v>6.0458167330677437E-2</v>
      </c>
    </row>
    <row r="36" spans="1:7" x14ac:dyDescent="0.25">
      <c r="A36" s="1">
        <v>45681</v>
      </c>
      <c r="B36">
        <v>544.15</v>
      </c>
      <c r="D36" s="3">
        <f t="shared" si="0"/>
        <v>542.15</v>
      </c>
      <c r="G36" s="18">
        <f t="shared" si="1"/>
        <v>1.8408941485864583E-2</v>
      </c>
    </row>
    <row r="37" spans="1:7" x14ac:dyDescent="0.25">
      <c r="A37" s="1">
        <v>45680</v>
      </c>
      <c r="B37">
        <v>552.1</v>
      </c>
      <c r="D37" s="3">
        <f t="shared" si="0"/>
        <v>550.1</v>
      </c>
      <c r="G37" s="18">
        <f t="shared" si="1"/>
        <v>1.4663838421101305E-2</v>
      </c>
    </row>
    <row r="38" spans="1:7" x14ac:dyDescent="0.25">
      <c r="A38" s="1">
        <v>45679</v>
      </c>
      <c r="B38">
        <v>550</v>
      </c>
      <c r="D38" s="3">
        <f t="shared" si="0"/>
        <v>548</v>
      </c>
      <c r="G38" s="18">
        <f t="shared" si="1"/>
        <v>-3.8174877295037435E-3</v>
      </c>
    </row>
    <row r="39" spans="1:7" x14ac:dyDescent="0.25">
      <c r="A39" s="1">
        <v>45678</v>
      </c>
      <c r="B39">
        <v>557.54999999999995</v>
      </c>
      <c r="D39" s="3">
        <f t="shared" si="0"/>
        <v>555.54999999999995</v>
      </c>
      <c r="G39" s="18">
        <f t="shared" si="1"/>
        <v>1.3777372262773646E-2</v>
      </c>
    </row>
    <row r="40" spans="1:7" x14ac:dyDescent="0.25">
      <c r="A40" s="1">
        <v>45677</v>
      </c>
      <c r="B40">
        <v>579.25</v>
      </c>
      <c r="D40" s="3">
        <f t="shared" si="0"/>
        <v>577.25</v>
      </c>
      <c r="G40" s="18">
        <f t="shared" si="1"/>
        <v>3.9060390603906203E-2</v>
      </c>
    </row>
    <row r="41" spans="1:7" x14ac:dyDescent="0.25">
      <c r="A41" s="1">
        <v>45674</v>
      </c>
      <c r="B41">
        <v>568</v>
      </c>
      <c r="D41" s="3">
        <f t="shared" si="0"/>
        <v>566</v>
      </c>
      <c r="G41" s="18">
        <f t="shared" si="1"/>
        <v>-1.9488956258120416E-2</v>
      </c>
    </row>
    <row r="42" spans="1:7" x14ac:dyDescent="0.25">
      <c r="A42" s="1">
        <v>45673</v>
      </c>
      <c r="B42">
        <v>570.45000000000005</v>
      </c>
      <c r="D42" s="3">
        <f t="shared" si="0"/>
        <v>568.45000000000005</v>
      </c>
      <c r="G42" s="18">
        <f t="shared" si="1"/>
        <v>4.3286219081273281E-3</v>
      </c>
    </row>
    <row r="43" spans="1:7" x14ac:dyDescent="0.25">
      <c r="A43" s="1">
        <v>45672</v>
      </c>
      <c r="B43">
        <v>561.5</v>
      </c>
      <c r="D43" s="3">
        <f t="shared" si="0"/>
        <v>559.5</v>
      </c>
      <c r="G43" s="18">
        <f t="shared" si="1"/>
        <v>-1.5744568563638039E-2</v>
      </c>
    </row>
    <row r="44" spans="1:7" x14ac:dyDescent="0.25">
      <c r="A44" s="1">
        <v>45671</v>
      </c>
      <c r="B44">
        <v>547.85</v>
      </c>
      <c r="D44" s="3">
        <f t="shared" si="0"/>
        <v>545.85</v>
      </c>
      <c r="G44" s="18">
        <f t="shared" si="1"/>
        <v>-2.4396782841823006E-2</v>
      </c>
    </row>
    <row r="45" spans="1:7" x14ac:dyDescent="0.25">
      <c r="A45" s="1">
        <v>45670</v>
      </c>
      <c r="B45">
        <v>517.75</v>
      </c>
      <c r="D45" s="3">
        <f t="shared" si="0"/>
        <v>515.75</v>
      </c>
      <c r="G45" s="18">
        <f t="shared" si="1"/>
        <v>-5.5143354401392397E-2</v>
      </c>
    </row>
    <row r="46" spans="1:7" x14ac:dyDescent="0.25">
      <c r="A46" s="1">
        <v>45667</v>
      </c>
      <c r="B46">
        <v>539.6</v>
      </c>
      <c r="D46" s="3">
        <f t="shared" si="0"/>
        <v>537.6</v>
      </c>
      <c r="G46" s="18">
        <f t="shared" si="1"/>
        <v>4.2365487154629289E-2</v>
      </c>
    </row>
    <row r="47" spans="1:7" x14ac:dyDescent="0.25">
      <c r="A47" s="1">
        <v>45666</v>
      </c>
      <c r="B47">
        <v>557.65</v>
      </c>
      <c r="D47" s="3">
        <f t="shared" si="0"/>
        <v>555.65</v>
      </c>
      <c r="G47" s="18">
        <f t="shared" si="1"/>
        <v>3.3575148809523725E-2</v>
      </c>
    </row>
    <row r="48" spans="1:7" x14ac:dyDescent="0.25">
      <c r="A48" s="1">
        <v>45665</v>
      </c>
      <c r="B48">
        <v>579.35</v>
      </c>
      <c r="D48" s="3">
        <f t="shared" si="0"/>
        <v>577.35</v>
      </c>
      <c r="G48" s="18">
        <f t="shared" si="1"/>
        <v>3.9053360928642311E-2</v>
      </c>
    </row>
    <row r="49" spans="1:7" x14ac:dyDescent="0.25">
      <c r="A49" s="1">
        <v>45664</v>
      </c>
      <c r="B49">
        <v>595.65</v>
      </c>
      <c r="D49" s="3">
        <f t="shared" si="0"/>
        <v>593.65</v>
      </c>
      <c r="G49" s="18">
        <f t="shared" si="1"/>
        <v>2.8232441326751401E-2</v>
      </c>
    </row>
    <row r="50" spans="1:7" x14ac:dyDescent="0.25">
      <c r="A50" s="1">
        <v>45663</v>
      </c>
      <c r="B50">
        <v>601.54999999999995</v>
      </c>
      <c r="D50" s="3">
        <f t="shared" si="0"/>
        <v>599.54999999999995</v>
      </c>
      <c r="G50" s="18">
        <f t="shared" si="1"/>
        <v>9.9385159605827056E-3</v>
      </c>
    </row>
    <row r="51" spans="1:7" x14ac:dyDescent="0.25">
      <c r="A51" s="1">
        <v>45660</v>
      </c>
      <c r="B51">
        <v>634.4</v>
      </c>
      <c r="D51" s="3">
        <f t="shared" si="0"/>
        <v>632.4</v>
      </c>
      <c r="G51" s="18">
        <f t="shared" si="1"/>
        <v>5.4791093319989992E-2</v>
      </c>
    </row>
    <row r="52" spans="1:7" x14ac:dyDescent="0.25">
      <c r="A52" s="1">
        <v>45659</v>
      </c>
      <c r="B52">
        <v>641</v>
      </c>
      <c r="D52" s="3">
        <f t="shared" si="0"/>
        <v>639</v>
      </c>
      <c r="G52" s="18">
        <f t="shared" si="1"/>
        <v>1.0436432637571214E-2</v>
      </c>
    </row>
    <row r="53" spans="1:7" x14ac:dyDescent="0.25">
      <c r="A53" s="1">
        <v>45658</v>
      </c>
      <c r="B53">
        <v>644.29999999999995</v>
      </c>
      <c r="D53" s="3">
        <f t="shared" si="0"/>
        <v>642.29999999999995</v>
      </c>
      <c r="G53" s="18">
        <f t="shared" si="1"/>
        <v>5.1643192488262102E-3</v>
      </c>
    </row>
    <row r="54" spans="1:7" x14ac:dyDescent="0.25">
      <c r="A54" s="1">
        <v>45657</v>
      </c>
      <c r="B54">
        <v>642.65</v>
      </c>
      <c r="D54" s="3">
        <f t="shared" si="0"/>
        <v>640.65</v>
      </c>
      <c r="G54" s="18">
        <f t="shared" si="1"/>
        <v>-2.5688930406352339E-3</v>
      </c>
    </row>
    <row r="55" spans="1:7" x14ac:dyDescent="0.25">
      <c r="A55" s="1">
        <v>45656</v>
      </c>
      <c r="B55">
        <v>643.5</v>
      </c>
      <c r="D55" s="3">
        <f t="shared" si="0"/>
        <v>641.5</v>
      </c>
      <c r="G55" s="18">
        <f t="shared" si="1"/>
        <v>1.3267774916101427E-3</v>
      </c>
    </row>
    <row r="56" spans="1:7" x14ac:dyDescent="0.25">
      <c r="A56" s="1">
        <v>45653</v>
      </c>
      <c r="B56">
        <v>625.79999999999995</v>
      </c>
      <c r="D56" s="3">
        <f t="shared" si="0"/>
        <v>623.79999999999995</v>
      </c>
      <c r="G56" s="18">
        <f t="shared" si="1"/>
        <v>-2.759158222915048E-2</v>
      </c>
    </row>
    <row r="57" spans="1:7" x14ac:dyDescent="0.25">
      <c r="A57" s="1">
        <v>45652</v>
      </c>
      <c r="B57">
        <v>636.5</v>
      </c>
      <c r="D57" s="3">
        <f t="shared" si="0"/>
        <v>634.5</v>
      </c>
      <c r="G57" s="18">
        <f t="shared" si="1"/>
        <v>1.7152933632574641E-2</v>
      </c>
    </row>
    <row r="58" spans="1:7" x14ac:dyDescent="0.25">
      <c r="A58" s="1">
        <v>45650</v>
      </c>
      <c r="B58">
        <v>648.04999999999995</v>
      </c>
      <c r="D58" s="3">
        <f t="shared" si="0"/>
        <v>646.04999999999995</v>
      </c>
      <c r="G58" s="18">
        <f t="shared" si="1"/>
        <v>1.8203309692671255E-2</v>
      </c>
    </row>
    <row r="59" spans="1:7" x14ac:dyDescent="0.25">
      <c r="A59" s="1">
        <v>45649</v>
      </c>
      <c r="B59">
        <v>659.7</v>
      </c>
      <c r="D59" s="3">
        <f t="shared" si="0"/>
        <v>657.7</v>
      </c>
      <c r="G59" s="18">
        <f t="shared" si="1"/>
        <v>1.8032660010835144E-2</v>
      </c>
    </row>
    <row r="60" spans="1:7" x14ac:dyDescent="0.25">
      <c r="A60" s="1">
        <v>45646</v>
      </c>
      <c r="B60">
        <v>669.8</v>
      </c>
      <c r="D60" s="3">
        <f t="shared" si="0"/>
        <v>667.8</v>
      </c>
      <c r="G60" s="18">
        <f t="shared" si="1"/>
        <v>1.5356545537478894E-2</v>
      </c>
    </row>
    <row r="61" spans="1:7" x14ac:dyDescent="0.25">
      <c r="A61" s="1">
        <v>45645</v>
      </c>
      <c r="B61">
        <v>685</v>
      </c>
      <c r="D61" s="3">
        <f t="shared" si="0"/>
        <v>683</v>
      </c>
      <c r="G61" s="18">
        <f t="shared" si="1"/>
        <v>2.2761305780173879E-2</v>
      </c>
    </row>
    <row r="62" spans="1:7" x14ac:dyDescent="0.25">
      <c r="A62" s="1">
        <v>45644</v>
      </c>
      <c r="B62">
        <v>682.05</v>
      </c>
      <c r="D62" s="3">
        <f t="shared" si="0"/>
        <v>680.05</v>
      </c>
      <c r="G62" s="18">
        <f t="shared" si="1"/>
        <v>-4.3191800878478182E-3</v>
      </c>
    </row>
    <row r="63" spans="1:7" x14ac:dyDescent="0.25">
      <c r="A63" s="1">
        <v>45643</v>
      </c>
      <c r="B63">
        <v>685.15</v>
      </c>
      <c r="D63" s="3">
        <f t="shared" si="0"/>
        <v>683.15</v>
      </c>
      <c r="G63" s="18">
        <f t="shared" si="1"/>
        <v>4.558488346445122E-3</v>
      </c>
    </row>
    <row r="64" spans="1:7" x14ac:dyDescent="0.25">
      <c r="A64" s="1">
        <v>45642</v>
      </c>
      <c r="B64">
        <v>688.95</v>
      </c>
      <c r="D64" s="3">
        <f t="shared" si="0"/>
        <v>686.95</v>
      </c>
      <c r="G64" s="18">
        <f t="shared" si="1"/>
        <v>5.5624679792141141E-3</v>
      </c>
    </row>
    <row r="65" spans="1:7" x14ac:dyDescent="0.25">
      <c r="A65" s="1">
        <v>45639</v>
      </c>
      <c r="B65">
        <v>678.6</v>
      </c>
      <c r="D65" s="3">
        <f t="shared" si="0"/>
        <v>676.6</v>
      </c>
      <c r="G65" s="18">
        <f t="shared" si="1"/>
        <v>-1.5066598733532333E-2</v>
      </c>
    </row>
    <row r="66" spans="1:7" x14ac:dyDescent="0.25">
      <c r="A66" s="1">
        <v>45638</v>
      </c>
      <c r="B66">
        <v>685.25</v>
      </c>
      <c r="D66" s="3">
        <f t="shared" si="0"/>
        <v>683.25</v>
      </c>
      <c r="G66" s="18">
        <f t="shared" si="1"/>
        <v>9.8285545373928418E-3</v>
      </c>
    </row>
    <row r="67" spans="1:7" x14ac:dyDescent="0.25">
      <c r="A67" s="1">
        <v>45637</v>
      </c>
      <c r="B67">
        <v>677.6</v>
      </c>
      <c r="D67" s="3">
        <f t="shared" ref="D67:D130" si="2">B67-2</f>
        <v>675.6</v>
      </c>
      <c r="G67" s="18">
        <f t="shared" si="1"/>
        <v>-1.1196487376509245E-2</v>
      </c>
    </row>
    <row r="68" spans="1:7" x14ac:dyDescent="0.25">
      <c r="A68" s="1">
        <v>45636</v>
      </c>
      <c r="B68">
        <v>668</v>
      </c>
      <c r="D68" s="3">
        <f t="shared" si="2"/>
        <v>666</v>
      </c>
      <c r="G68" s="18">
        <f t="shared" ref="G68:G131" si="3">(D68/D67)-1</f>
        <v>-1.4209591474245165E-2</v>
      </c>
    </row>
    <row r="69" spans="1:7" x14ac:dyDescent="0.25">
      <c r="A69" s="1">
        <v>45635</v>
      </c>
      <c r="B69">
        <v>675.2</v>
      </c>
      <c r="D69" s="3">
        <f t="shared" si="2"/>
        <v>673.2</v>
      </c>
      <c r="G69" s="18">
        <f t="shared" si="3"/>
        <v>1.0810810810810922E-2</v>
      </c>
    </row>
    <row r="70" spans="1:7" x14ac:dyDescent="0.25">
      <c r="A70" s="1">
        <v>45632</v>
      </c>
      <c r="B70">
        <v>674.35</v>
      </c>
      <c r="D70" s="3">
        <f t="shared" si="2"/>
        <v>672.35</v>
      </c>
      <c r="G70" s="18">
        <f t="shared" si="3"/>
        <v>-1.2626262626262985E-3</v>
      </c>
    </row>
    <row r="71" spans="1:7" x14ac:dyDescent="0.25">
      <c r="A71" s="1">
        <v>45631</v>
      </c>
      <c r="B71">
        <v>664.15</v>
      </c>
      <c r="D71" s="3">
        <f t="shared" si="2"/>
        <v>662.15</v>
      </c>
      <c r="G71" s="18">
        <f t="shared" si="3"/>
        <v>-1.5170670037926715E-2</v>
      </c>
    </row>
    <row r="72" spans="1:7" x14ac:dyDescent="0.25">
      <c r="A72" s="1">
        <v>45630</v>
      </c>
      <c r="B72">
        <v>648.4</v>
      </c>
      <c r="D72" s="3">
        <f t="shared" si="2"/>
        <v>646.4</v>
      </c>
      <c r="G72" s="18">
        <f t="shared" si="3"/>
        <v>-2.3786151174205239E-2</v>
      </c>
    </row>
    <row r="73" spans="1:7" x14ac:dyDescent="0.25">
      <c r="A73" s="1">
        <v>45629</v>
      </c>
      <c r="B73">
        <v>642.95000000000005</v>
      </c>
      <c r="D73" s="3">
        <f t="shared" si="2"/>
        <v>640.95000000000005</v>
      </c>
      <c r="G73" s="18">
        <f t="shared" si="3"/>
        <v>-8.4313118811880639E-3</v>
      </c>
    </row>
    <row r="74" spans="1:7" x14ac:dyDescent="0.25">
      <c r="A74" s="1">
        <v>45628</v>
      </c>
      <c r="B74">
        <v>645.65</v>
      </c>
      <c r="D74" s="3">
        <f t="shared" si="2"/>
        <v>643.65</v>
      </c>
      <c r="G74" s="18">
        <f t="shared" si="3"/>
        <v>4.2124970746546531E-3</v>
      </c>
    </row>
    <row r="75" spans="1:7" x14ac:dyDescent="0.25">
      <c r="A75" s="1">
        <v>45625</v>
      </c>
      <c r="B75">
        <v>654.65</v>
      </c>
      <c r="D75" s="3">
        <f t="shared" si="2"/>
        <v>652.65</v>
      </c>
      <c r="G75" s="18">
        <f t="shared" si="3"/>
        <v>1.3982754602656744E-2</v>
      </c>
    </row>
    <row r="76" spans="1:7" x14ac:dyDescent="0.25">
      <c r="A76" s="1">
        <v>45624</v>
      </c>
      <c r="B76">
        <v>662.8</v>
      </c>
      <c r="D76" s="3">
        <f t="shared" si="2"/>
        <v>660.8</v>
      </c>
      <c r="G76" s="18">
        <f t="shared" si="3"/>
        <v>1.2487550754615828E-2</v>
      </c>
    </row>
    <row r="77" spans="1:7" x14ac:dyDescent="0.25">
      <c r="A77" s="1">
        <v>45623</v>
      </c>
      <c r="B77">
        <v>673.3</v>
      </c>
      <c r="D77" s="3">
        <f t="shared" si="2"/>
        <v>671.3</v>
      </c>
      <c r="G77" s="18">
        <f t="shared" si="3"/>
        <v>1.5889830508474478E-2</v>
      </c>
    </row>
    <row r="78" spans="1:7" x14ac:dyDescent="0.25">
      <c r="A78" s="1">
        <v>45622</v>
      </c>
      <c r="B78">
        <v>657.4</v>
      </c>
      <c r="D78" s="3">
        <f t="shared" si="2"/>
        <v>655.4</v>
      </c>
      <c r="G78" s="18">
        <f t="shared" si="3"/>
        <v>-2.3685386563384481E-2</v>
      </c>
    </row>
    <row r="79" spans="1:7" x14ac:dyDescent="0.25">
      <c r="A79" s="1">
        <v>45621</v>
      </c>
      <c r="B79">
        <v>675.05</v>
      </c>
      <c r="D79" s="3">
        <f t="shared" si="2"/>
        <v>673.05</v>
      </c>
      <c r="G79" s="18">
        <f t="shared" si="3"/>
        <v>2.6930119011290721E-2</v>
      </c>
    </row>
    <row r="80" spans="1:7" x14ac:dyDescent="0.25">
      <c r="A80" s="1">
        <v>45618</v>
      </c>
      <c r="B80">
        <v>688.9</v>
      </c>
      <c r="D80" s="3">
        <f t="shared" si="2"/>
        <v>686.9</v>
      </c>
      <c r="G80" s="18">
        <f t="shared" si="3"/>
        <v>2.0577965975781876E-2</v>
      </c>
    </row>
    <row r="81" spans="1:7" x14ac:dyDescent="0.25">
      <c r="A81" s="1">
        <v>45617</v>
      </c>
      <c r="B81">
        <v>699.15</v>
      </c>
      <c r="D81" s="3">
        <f t="shared" si="2"/>
        <v>697.15</v>
      </c>
      <c r="G81" s="18">
        <f t="shared" si="3"/>
        <v>1.4922113844810125E-2</v>
      </c>
    </row>
    <row r="82" spans="1:7" x14ac:dyDescent="0.25">
      <c r="A82" s="1">
        <v>45615</v>
      </c>
      <c r="B82">
        <v>709.9</v>
      </c>
      <c r="D82" s="3">
        <f t="shared" si="2"/>
        <v>707.9</v>
      </c>
      <c r="G82" s="18">
        <f t="shared" si="3"/>
        <v>1.5419923976188743E-2</v>
      </c>
    </row>
    <row r="83" spans="1:7" x14ac:dyDescent="0.25">
      <c r="A83" s="1">
        <v>45614</v>
      </c>
      <c r="B83">
        <v>712.8</v>
      </c>
      <c r="D83" s="3">
        <f t="shared" si="2"/>
        <v>710.8</v>
      </c>
      <c r="G83" s="18">
        <f t="shared" si="3"/>
        <v>4.0966238169233282E-3</v>
      </c>
    </row>
    <row r="84" spans="1:7" x14ac:dyDescent="0.25">
      <c r="A84" s="1">
        <v>45610</v>
      </c>
      <c r="B84">
        <v>732</v>
      </c>
      <c r="D84" s="3">
        <f t="shared" si="2"/>
        <v>730</v>
      </c>
      <c r="G84" s="18">
        <f t="shared" si="3"/>
        <v>2.7011817670230753E-2</v>
      </c>
    </row>
    <row r="85" spans="1:7" x14ac:dyDescent="0.25">
      <c r="A85" s="1">
        <v>45609</v>
      </c>
      <c r="B85">
        <v>728.95</v>
      </c>
      <c r="D85" s="3">
        <f t="shared" si="2"/>
        <v>726.95</v>
      </c>
      <c r="G85" s="18">
        <f t="shared" si="3"/>
        <v>-4.1780821917807298E-3</v>
      </c>
    </row>
    <row r="86" spans="1:7" x14ac:dyDescent="0.25">
      <c r="A86" s="1">
        <v>45608</v>
      </c>
      <c r="B86">
        <v>750.05</v>
      </c>
      <c r="D86" s="3">
        <f t="shared" si="2"/>
        <v>748.05</v>
      </c>
      <c r="G86" s="18">
        <f t="shared" si="3"/>
        <v>2.9025380012380309E-2</v>
      </c>
    </row>
    <row r="87" spans="1:7" x14ac:dyDescent="0.25">
      <c r="A87" s="1">
        <v>45607</v>
      </c>
      <c r="B87">
        <v>739.25</v>
      </c>
      <c r="D87" s="3">
        <f t="shared" si="2"/>
        <v>737.25</v>
      </c>
      <c r="G87" s="18">
        <f t="shared" si="3"/>
        <v>-1.4437537597754124E-2</v>
      </c>
    </row>
    <row r="88" spans="1:7" x14ac:dyDescent="0.25">
      <c r="A88" s="1">
        <v>45604</v>
      </c>
      <c r="B88">
        <v>712.05</v>
      </c>
      <c r="D88" s="3">
        <f t="shared" si="2"/>
        <v>710.05</v>
      </c>
      <c r="G88" s="18">
        <f t="shared" si="3"/>
        <v>-3.689386232621239E-2</v>
      </c>
    </row>
    <row r="89" spans="1:7" x14ac:dyDescent="0.25">
      <c r="A89" s="1">
        <v>45603</v>
      </c>
      <c r="B89">
        <v>714.8</v>
      </c>
      <c r="D89" s="3">
        <f t="shared" si="2"/>
        <v>712.8</v>
      </c>
      <c r="G89" s="18">
        <f t="shared" si="3"/>
        <v>3.8729666924863793E-3</v>
      </c>
    </row>
    <row r="90" spans="1:7" x14ac:dyDescent="0.25">
      <c r="A90" s="1">
        <v>45602</v>
      </c>
      <c r="B90">
        <v>682.6</v>
      </c>
      <c r="D90" s="3">
        <f t="shared" si="2"/>
        <v>680.6</v>
      </c>
      <c r="G90" s="18">
        <f t="shared" si="3"/>
        <v>-4.5173961840628385E-2</v>
      </c>
    </row>
    <row r="91" spans="1:7" x14ac:dyDescent="0.25">
      <c r="A91" s="1">
        <v>45601</v>
      </c>
      <c r="B91">
        <v>654.79999999999995</v>
      </c>
      <c r="D91" s="3">
        <f t="shared" si="2"/>
        <v>652.79999999999995</v>
      </c>
      <c r="G91" s="18">
        <f t="shared" si="3"/>
        <v>-4.0846312077578717E-2</v>
      </c>
    </row>
    <row r="92" spans="1:7" x14ac:dyDescent="0.25">
      <c r="A92" s="1">
        <v>45600</v>
      </c>
      <c r="B92">
        <v>663.15</v>
      </c>
      <c r="D92" s="3">
        <f t="shared" si="2"/>
        <v>661.15</v>
      </c>
      <c r="G92" s="18">
        <f t="shared" si="3"/>
        <v>1.2791053921568762E-2</v>
      </c>
    </row>
    <row r="93" spans="1:7" x14ac:dyDescent="0.25">
      <c r="A93" s="1">
        <v>45597</v>
      </c>
      <c r="B93">
        <v>682.65</v>
      </c>
      <c r="D93" s="3">
        <f t="shared" si="2"/>
        <v>680.65</v>
      </c>
      <c r="G93" s="18">
        <f t="shared" si="3"/>
        <v>2.9494063374423396E-2</v>
      </c>
    </row>
    <row r="94" spans="1:7" x14ac:dyDescent="0.25">
      <c r="A94" s="1">
        <v>45596</v>
      </c>
      <c r="B94">
        <v>679.15</v>
      </c>
      <c r="D94" s="3">
        <f t="shared" si="2"/>
        <v>677.15</v>
      </c>
      <c r="G94" s="18">
        <f t="shared" si="3"/>
        <v>-5.1421435392638992E-3</v>
      </c>
    </row>
    <row r="95" spans="1:7" x14ac:dyDescent="0.25">
      <c r="A95" s="1">
        <v>45595</v>
      </c>
      <c r="B95">
        <v>674.35</v>
      </c>
      <c r="D95" s="3">
        <f t="shared" si="2"/>
        <v>672.35</v>
      </c>
      <c r="G95" s="18">
        <f t="shared" si="3"/>
        <v>-7.088532821383664E-3</v>
      </c>
    </row>
    <row r="96" spans="1:7" x14ac:dyDescent="0.25">
      <c r="A96" s="1">
        <v>45594</v>
      </c>
      <c r="B96">
        <v>683.3</v>
      </c>
      <c r="D96" s="3">
        <f t="shared" si="2"/>
        <v>681.3</v>
      </c>
      <c r="G96" s="18">
        <f t="shared" si="3"/>
        <v>1.3311519297984686E-2</v>
      </c>
    </row>
    <row r="97" spans="1:7" x14ac:dyDescent="0.25">
      <c r="A97" s="1">
        <v>45593</v>
      </c>
      <c r="B97">
        <v>642.9</v>
      </c>
      <c r="D97" s="3">
        <f t="shared" si="2"/>
        <v>640.9</v>
      </c>
      <c r="G97" s="18">
        <f t="shared" si="3"/>
        <v>-5.9298400117422601E-2</v>
      </c>
    </row>
    <row r="98" spans="1:7" x14ac:dyDescent="0.25">
      <c r="A98" s="1">
        <v>45590</v>
      </c>
      <c r="B98">
        <v>668.9</v>
      </c>
      <c r="D98" s="3">
        <f t="shared" si="2"/>
        <v>666.9</v>
      </c>
      <c r="G98" s="18">
        <f t="shared" si="3"/>
        <v>4.0567951318458473E-2</v>
      </c>
    </row>
    <row r="99" spans="1:7" x14ac:dyDescent="0.25">
      <c r="A99" s="1">
        <v>45589</v>
      </c>
      <c r="B99">
        <v>671</v>
      </c>
      <c r="D99" s="3">
        <f t="shared" si="2"/>
        <v>669</v>
      </c>
      <c r="G99" s="18">
        <f t="shared" si="3"/>
        <v>3.1488978857401317E-3</v>
      </c>
    </row>
    <row r="100" spans="1:7" x14ac:dyDescent="0.25">
      <c r="A100" s="1">
        <v>45588</v>
      </c>
      <c r="B100">
        <v>687.75</v>
      </c>
      <c r="D100" s="3">
        <f t="shared" si="2"/>
        <v>685.75</v>
      </c>
      <c r="G100" s="18">
        <f t="shared" si="3"/>
        <v>2.5037369207772775E-2</v>
      </c>
    </row>
    <row r="101" spans="1:7" x14ac:dyDescent="0.25">
      <c r="A101" s="1">
        <v>45587</v>
      </c>
      <c r="B101">
        <v>670.25</v>
      </c>
      <c r="D101" s="3">
        <f t="shared" si="2"/>
        <v>668.25</v>
      </c>
      <c r="G101" s="18">
        <f t="shared" si="3"/>
        <v>-2.5519504192489939E-2</v>
      </c>
    </row>
    <row r="102" spans="1:7" x14ac:dyDescent="0.25">
      <c r="A102" s="1">
        <v>45586</v>
      </c>
      <c r="B102">
        <v>684.55</v>
      </c>
      <c r="D102" s="3">
        <f t="shared" si="2"/>
        <v>682.55</v>
      </c>
      <c r="G102" s="18">
        <f t="shared" si="3"/>
        <v>2.1399176954732368E-2</v>
      </c>
    </row>
    <row r="103" spans="1:7" x14ac:dyDescent="0.25">
      <c r="A103" s="1">
        <v>45583</v>
      </c>
      <c r="B103">
        <v>676.85</v>
      </c>
      <c r="D103" s="3">
        <f t="shared" si="2"/>
        <v>674.85</v>
      </c>
      <c r="G103" s="18">
        <f t="shared" si="3"/>
        <v>-1.1281224818694535E-2</v>
      </c>
    </row>
    <row r="104" spans="1:7" x14ac:dyDescent="0.25">
      <c r="A104" s="1">
        <v>45582</v>
      </c>
      <c r="B104">
        <v>676.55</v>
      </c>
      <c r="D104" s="3">
        <f t="shared" si="2"/>
        <v>674.55</v>
      </c>
      <c r="G104" s="18">
        <f t="shared" si="3"/>
        <v>-4.4454323182940847E-4</v>
      </c>
    </row>
    <row r="105" spans="1:7" x14ac:dyDescent="0.25">
      <c r="A105" s="1">
        <v>45581</v>
      </c>
      <c r="B105">
        <v>689.3</v>
      </c>
      <c r="D105" s="3">
        <f t="shared" si="2"/>
        <v>687.3</v>
      </c>
      <c r="G105" s="18">
        <f t="shared" si="3"/>
        <v>1.8901489882143574E-2</v>
      </c>
    </row>
    <row r="106" spans="1:7" x14ac:dyDescent="0.25">
      <c r="A106" s="1">
        <v>45580</v>
      </c>
      <c r="B106">
        <v>692.15</v>
      </c>
      <c r="D106" s="3">
        <f t="shared" si="2"/>
        <v>690.15</v>
      </c>
      <c r="G106" s="18">
        <f t="shared" si="3"/>
        <v>4.1466608467917165E-3</v>
      </c>
    </row>
    <row r="107" spans="1:7" x14ac:dyDescent="0.25">
      <c r="A107" s="1">
        <v>45579</v>
      </c>
      <c r="B107">
        <v>703.2</v>
      </c>
      <c r="D107" s="3">
        <f t="shared" si="2"/>
        <v>701.2</v>
      </c>
      <c r="G107" s="18">
        <f t="shared" si="3"/>
        <v>1.6011012098819277E-2</v>
      </c>
    </row>
    <row r="108" spans="1:7" x14ac:dyDescent="0.25">
      <c r="A108" s="1">
        <v>45576</v>
      </c>
      <c r="B108">
        <v>706.7</v>
      </c>
      <c r="D108" s="3">
        <f t="shared" si="2"/>
        <v>704.7</v>
      </c>
      <c r="G108" s="18">
        <f t="shared" si="3"/>
        <v>4.9914432401596542E-3</v>
      </c>
    </row>
    <row r="109" spans="1:7" x14ac:dyDescent="0.25">
      <c r="A109" s="1">
        <v>45575</v>
      </c>
      <c r="B109">
        <v>728.85</v>
      </c>
      <c r="D109" s="3">
        <f t="shared" si="2"/>
        <v>726.85</v>
      </c>
      <c r="G109" s="18">
        <f t="shared" si="3"/>
        <v>3.1431814956719206E-2</v>
      </c>
    </row>
    <row r="110" spans="1:7" x14ac:dyDescent="0.25">
      <c r="A110" s="1">
        <v>45574</v>
      </c>
      <c r="B110">
        <v>730.1</v>
      </c>
      <c r="D110" s="3">
        <f t="shared" si="2"/>
        <v>728.1</v>
      </c>
      <c r="G110" s="18">
        <f t="shared" si="3"/>
        <v>1.7197496044576432E-3</v>
      </c>
    </row>
    <row r="111" spans="1:7" x14ac:dyDescent="0.25">
      <c r="A111" s="1">
        <v>45573</v>
      </c>
      <c r="B111">
        <v>722.55</v>
      </c>
      <c r="D111" s="3">
        <f t="shared" si="2"/>
        <v>720.55</v>
      </c>
      <c r="G111" s="18">
        <f t="shared" si="3"/>
        <v>-1.0369454745227435E-2</v>
      </c>
    </row>
    <row r="112" spans="1:7" x14ac:dyDescent="0.25">
      <c r="A112" s="1">
        <v>45572</v>
      </c>
      <c r="B112">
        <v>674.2</v>
      </c>
      <c r="D112" s="3">
        <f t="shared" si="2"/>
        <v>672.2</v>
      </c>
      <c r="G112" s="18">
        <f t="shared" si="3"/>
        <v>-6.7101519672472243E-2</v>
      </c>
    </row>
    <row r="113" spans="1:7" x14ac:dyDescent="0.25">
      <c r="A113" s="1">
        <v>45569</v>
      </c>
      <c r="B113">
        <v>699.5</v>
      </c>
      <c r="D113" s="3">
        <f t="shared" si="2"/>
        <v>697.5</v>
      </c>
      <c r="G113" s="18">
        <f t="shared" si="3"/>
        <v>3.7637607854805077E-2</v>
      </c>
    </row>
    <row r="114" spans="1:7" x14ac:dyDescent="0.25">
      <c r="A114" s="1">
        <v>45568</v>
      </c>
      <c r="B114">
        <v>708.6</v>
      </c>
      <c r="D114" s="3">
        <f t="shared" si="2"/>
        <v>706.6</v>
      </c>
      <c r="G114" s="18">
        <f t="shared" si="3"/>
        <v>1.304659498207883E-2</v>
      </c>
    </row>
    <row r="115" spans="1:7" x14ac:dyDescent="0.25">
      <c r="A115" s="1">
        <v>45566</v>
      </c>
      <c r="B115">
        <v>723.45</v>
      </c>
      <c r="D115" s="3">
        <f t="shared" si="2"/>
        <v>721.45</v>
      </c>
      <c r="G115" s="18">
        <f t="shared" si="3"/>
        <v>2.1016133597509201E-2</v>
      </c>
    </row>
    <row r="116" spans="1:7" x14ac:dyDescent="0.25">
      <c r="A116" s="1">
        <v>45565</v>
      </c>
      <c r="B116">
        <v>733.05</v>
      </c>
      <c r="D116" s="3">
        <f t="shared" si="2"/>
        <v>731.05</v>
      </c>
      <c r="G116" s="18">
        <f t="shared" si="3"/>
        <v>1.3306535449441936E-2</v>
      </c>
    </row>
    <row r="117" spans="1:7" x14ac:dyDescent="0.25">
      <c r="A117" s="1">
        <v>45562</v>
      </c>
      <c r="B117">
        <v>740.3</v>
      </c>
      <c r="D117" s="3">
        <f t="shared" si="2"/>
        <v>738.3</v>
      </c>
      <c r="G117" s="18">
        <f t="shared" si="3"/>
        <v>9.9172423226865369E-3</v>
      </c>
    </row>
    <row r="118" spans="1:7" x14ac:dyDescent="0.25">
      <c r="A118" s="1">
        <v>45561</v>
      </c>
      <c r="B118">
        <v>776.4</v>
      </c>
      <c r="D118" s="3">
        <f t="shared" si="2"/>
        <v>774.4</v>
      </c>
      <c r="G118" s="18">
        <f t="shared" si="3"/>
        <v>4.8896112691317883E-2</v>
      </c>
    </row>
    <row r="119" spans="1:7" x14ac:dyDescent="0.25">
      <c r="A119" s="1">
        <v>45560</v>
      </c>
      <c r="B119">
        <v>783.9</v>
      </c>
      <c r="D119" s="3">
        <f t="shared" si="2"/>
        <v>781.9</v>
      </c>
      <c r="G119" s="18">
        <f t="shared" si="3"/>
        <v>9.6849173553719137E-3</v>
      </c>
    </row>
    <row r="120" spans="1:7" x14ac:dyDescent="0.25">
      <c r="A120" s="1">
        <v>45559</v>
      </c>
      <c r="B120">
        <v>789.3</v>
      </c>
      <c r="D120" s="3">
        <f t="shared" si="2"/>
        <v>787.3</v>
      </c>
      <c r="G120" s="18">
        <f t="shared" si="3"/>
        <v>6.9062539966746606E-3</v>
      </c>
    </row>
    <row r="121" spans="1:7" x14ac:dyDescent="0.25">
      <c r="A121" s="1">
        <v>45558</v>
      </c>
      <c r="B121">
        <v>792.05</v>
      </c>
      <c r="D121" s="3">
        <f t="shared" si="2"/>
        <v>790.05</v>
      </c>
      <c r="G121" s="18">
        <f t="shared" si="3"/>
        <v>3.4929505906262648E-3</v>
      </c>
    </row>
    <row r="122" spans="1:7" x14ac:dyDescent="0.25">
      <c r="A122" s="1">
        <v>45555</v>
      </c>
      <c r="B122">
        <v>782.35</v>
      </c>
      <c r="D122" s="3">
        <f t="shared" si="2"/>
        <v>780.35</v>
      </c>
      <c r="G122" s="18">
        <f t="shared" si="3"/>
        <v>-1.2277703942788376E-2</v>
      </c>
    </row>
    <row r="123" spans="1:7" x14ac:dyDescent="0.25">
      <c r="A123" s="1">
        <v>45554</v>
      </c>
      <c r="B123">
        <v>742.85</v>
      </c>
      <c r="D123" s="3">
        <f t="shared" si="2"/>
        <v>740.85</v>
      </c>
      <c r="G123" s="18">
        <f t="shared" si="3"/>
        <v>-5.0618312295764745E-2</v>
      </c>
    </row>
    <row r="124" spans="1:7" x14ac:dyDescent="0.25">
      <c r="A124" s="1">
        <v>45553</v>
      </c>
      <c r="B124">
        <v>750.75</v>
      </c>
      <c r="D124" s="3">
        <f t="shared" si="2"/>
        <v>748.75</v>
      </c>
      <c r="G124" s="18">
        <f t="shared" si="3"/>
        <v>1.0663427144496085E-2</v>
      </c>
    </row>
    <row r="125" spans="1:7" x14ac:dyDescent="0.25">
      <c r="A125" s="1">
        <v>45552</v>
      </c>
      <c r="B125">
        <v>748.55</v>
      </c>
      <c r="D125" s="3">
        <f t="shared" si="2"/>
        <v>746.55</v>
      </c>
      <c r="G125" s="18">
        <f t="shared" si="3"/>
        <v>-2.9382303839733392E-3</v>
      </c>
    </row>
    <row r="126" spans="1:7" x14ac:dyDescent="0.25">
      <c r="A126" s="1">
        <v>45551</v>
      </c>
      <c r="B126">
        <v>771.6</v>
      </c>
      <c r="D126" s="3">
        <f t="shared" si="2"/>
        <v>769.6</v>
      </c>
      <c r="G126" s="18">
        <f t="shared" si="3"/>
        <v>3.0875359989284146E-2</v>
      </c>
    </row>
    <row r="127" spans="1:7" x14ac:dyDescent="0.25">
      <c r="A127" s="1">
        <v>45548</v>
      </c>
      <c r="B127">
        <v>768.25</v>
      </c>
      <c r="D127" s="3">
        <f t="shared" si="2"/>
        <v>766.25</v>
      </c>
      <c r="G127" s="18">
        <f t="shared" si="3"/>
        <v>-4.3529106029106535E-3</v>
      </c>
    </row>
    <row r="128" spans="1:7" x14ac:dyDescent="0.25">
      <c r="A128" s="1">
        <v>45547</v>
      </c>
      <c r="B128">
        <v>760.1</v>
      </c>
      <c r="D128" s="3">
        <f t="shared" si="2"/>
        <v>758.1</v>
      </c>
      <c r="G128" s="18">
        <f t="shared" si="3"/>
        <v>-1.0636215334420829E-2</v>
      </c>
    </row>
    <row r="129" spans="1:7" x14ac:dyDescent="0.25">
      <c r="A129" s="1">
        <v>45546</v>
      </c>
      <c r="B129">
        <v>741.8</v>
      </c>
      <c r="D129" s="3">
        <f t="shared" si="2"/>
        <v>739.8</v>
      </c>
      <c r="G129" s="18">
        <f t="shared" si="3"/>
        <v>-2.413929560743977E-2</v>
      </c>
    </row>
    <row r="130" spans="1:7" x14ac:dyDescent="0.25">
      <c r="A130" s="1">
        <v>45545</v>
      </c>
      <c r="B130">
        <v>744.2</v>
      </c>
      <c r="D130" s="3">
        <f t="shared" si="2"/>
        <v>742.2</v>
      </c>
      <c r="G130" s="18">
        <f t="shared" si="3"/>
        <v>3.2441200324413444E-3</v>
      </c>
    </row>
    <row r="131" spans="1:7" x14ac:dyDescent="0.25">
      <c r="A131" s="1">
        <v>45544</v>
      </c>
      <c r="B131">
        <v>730.75</v>
      </c>
      <c r="D131" s="3">
        <f t="shared" ref="D131:D194" si="4">B131-2</f>
        <v>728.75</v>
      </c>
      <c r="G131" s="18">
        <f t="shared" si="3"/>
        <v>-1.8121800053893855E-2</v>
      </c>
    </row>
    <row r="132" spans="1:7" x14ac:dyDescent="0.25">
      <c r="A132" s="1">
        <v>45541</v>
      </c>
      <c r="B132">
        <v>709.55</v>
      </c>
      <c r="D132" s="3">
        <f t="shared" si="4"/>
        <v>707.55</v>
      </c>
      <c r="G132" s="18">
        <f t="shared" ref="G132:G195" si="5">(D132/D131)-1</f>
        <v>-2.9090909090909167E-2</v>
      </c>
    </row>
    <row r="133" spans="1:7" x14ac:dyDescent="0.25">
      <c r="A133" s="1">
        <v>45540</v>
      </c>
      <c r="B133">
        <v>714.45</v>
      </c>
      <c r="D133" s="3">
        <f t="shared" si="4"/>
        <v>712.45</v>
      </c>
      <c r="G133" s="18">
        <f t="shared" si="5"/>
        <v>6.9253056321110229E-3</v>
      </c>
    </row>
    <row r="134" spans="1:7" x14ac:dyDescent="0.25">
      <c r="A134" s="1">
        <v>45539</v>
      </c>
      <c r="B134">
        <v>698.5</v>
      </c>
      <c r="D134" s="3">
        <f t="shared" si="4"/>
        <v>696.5</v>
      </c>
      <c r="G134" s="18">
        <f t="shared" si="5"/>
        <v>-2.2387535967436367E-2</v>
      </c>
    </row>
    <row r="135" spans="1:7" x14ac:dyDescent="0.25">
      <c r="A135" s="1">
        <v>45538</v>
      </c>
      <c r="B135">
        <v>692.7</v>
      </c>
      <c r="D135" s="3">
        <f t="shared" si="4"/>
        <v>690.7</v>
      </c>
      <c r="G135" s="18">
        <f t="shared" si="5"/>
        <v>-8.3273510409188622E-3</v>
      </c>
    </row>
    <row r="136" spans="1:7" x14ac:dyDescent="0.25">
      <c r="A136" s="1">
        <v>45537</v>
      </c>
      <c r="B136">
        <v>705.8</v>
      </c>
      <c r="D136" s="3">
        <f t="shared" si="4"/>
        <v>703.8</v>
      </c>
      <c r="G136" s="18">
        <f t="shared" si="5"/>
        <v>1.8966266106847929E-2</v>
      </c>
    </row>
    <row r="137" spans="1:7" x14ac:dyDescent="0.25">
      <c r="A137" s="1">
        <v>45534</v>
      </c>
      <c r="B137">
        <v>711.15</v>
      </c>
      <c r="D137" s="3">
        <f t="shared" si="4"/>
        <v>709.15</v>
      </c>
      <c r="G137" s="18">
        <f t="shared" si="5"/>
        <v>7.6015913611822139E-3</v>
      </c>
    </row>
    <row r="138" spans="1:7" x14ac:dyDescent="0.25">
      <c r="A138" s="1">
        <v>45533</v>
      </c>
      <c r="B138">
        <v>720.05</v>
      </c>
      <c r="D138" s="3">
        <f t="shared" si="4"/>
        <v>718.05</v>
      </c>
      <c r="G138" s="18">
        <f t="shared" si="5"/>
        <v>1.2550236198265452E-2</v>
      </c>
    </row>
    <row r="139" spans="1:7" x14ac:dyDescent="0.25">
      <c r="A139" s="1">
        <v>45532</v>
      </c>
      <c r="B139">
        <v>736.6</v>
      </c>
      <c r="D139" s="3">
        <f t="shared" si="4"/>
        <v>734.6</v>
      </c>
      <c r="G139" s="18">
        <f t="shared" si="5"/>
        <v>2.3048534224636263E-2</v>
      </c>
    </row>
    <row r="140" spans="1:7" x14ac:dyDescent="0.25">
      <c r="A140" s="1">
        <v>45531</v>
      </c>
      <c r="B140">
        <v>733.1</v>
      </c>
      <c r="D140" s="3">
        <f t="shared" si="4"/>
        <v>731.1</v>
      </c>
      <c r="G140" s="18">
        <f t="shared" si="5"/>
        <v>-4.7644976858154386E-3</v>
      </c>
    </row>
    <row r="141" spans="1:7" x14ac:dyDescent="0.25">
      <c r="A141" s="1">
        <v>45530</v>
      </c>
      <c r="B141">
        <v>715.55</v>
      </c>
      <c r="D141" s="3">
        <f t="shared" si="4"/>
        <v>713.55</v>
      </c>
      <c r="G141" s="18">
        <f t="shared" si="5"/>
        <v>-2.4004924086992285E-2</v>
      </c>
    </row>
    <row r="142" spans="1:7" x14ac:dyDescent="0.25">
      <c r="A142" s="1">
        <v>45527</v>
      </c>
      <c r="B142">
        <v>703.85</v>
      </c>
      <c r="D142" s="3">
        <f t="shared" si="4"/>
        <v>701.85</v>
      </c>
      <c r="G142" s="18">
        <f t="shared" si="5"/>
        <v>-1.6396888795459197E-2</v>
      </c>
    </row>
    <row r="143" spans="1:7" x14ac:dyDescent="0.25">
      <c r="A143" s="1">
        <v>45526</v>
      </c>
      <c r="B143">
        <v>710.7</v>
      </c>
      <c r="D143" s="3">
        <f t="shared" si="4"/>
        <v>708.7</v>
      </c>
      <c r="G143" s="18">
        <f t="shared" si="5"/>
        <v>9.7599202108713534E-3</v>
      </c>
    </row>
    <row r="144" spans="1:7" x14ac:dyDescent="0.25">
      <c r="A144" s="1">
        <v>45525</v>
      </c>
      <c r="B144">
        <v>719.9</v>
      </c>
      <c r="D144" s="3">
        <f t="shared" si="4"/>
        <v>717.9</v>
      </c>
      <c r="G144" s="18">
        <f t="shared" si="5"/>
        <v>1.2981515450825265E-2</v>
      </c>
    </row>
    <row r="145" spans="1:7" x14ac:dyDescent="0.25">
      <c r="A145" s="1">
        <v>45524</v>
      </c>
      <c r="B145">
        <v>709.9</v>
      </c>
      <c r="D145" s="3">
        <f t="shared" si="4"/>
        <v>707.9</v>
      </c>
      <c r="G145" s="18">
        <f t="shared" si="5"/>
        <v>-1.3929516645772355E-2</v>
      </c>
    </row>
    <row r="146" spans="1:7" x14ac:dyDescent="0.25">
      <c r="A146" s="1">
        <v>45523</v>
      </c>
      <c r="B146">
        <v>668.55</v>
      </c>
      <c r="D146" s="3">
        <f t="shared" si="4"/>
        <v>666.55</v>
      </c>
      <c r="G146" s="18">
        <f t="shared" si="5"/>
        <v>-5.8412205113716698E-2</v>
      </c>
    </row>
    <row r="147" spans="1:7" x14ac:dyDescent="0.25">
      <c r="A147" s="1">
        <v>45520</v>
      </c>
      <c r="B147">
        <v>665.05</v>
      </c>
      <c r="D147" s="3">
        <f t="shared" si="4"/>
        <v>663.05</v>
      </c>
      <c r="G147" s="18">
        <f t="shared" si="5"/>
        <v>-5.2509189108094212E-3</v>
      </c>
    </row>
    <row r="148" spans="1:7" x14ac:dyDescent="0.25">
      <c r="A148" s="1">
        <v>45518</v>
      </c>
      <c r="B148">
        <v>645.95000000000005</v>
      </c>
      <c r="D148" s="3">
        <f t="shared" si="4"/>
        <v>643.95000000000005</v>
      </c>
      <c r="G148" s="18">
        <f t="shared" si="5"/>
        <v>-2.8806274036648705E-2</v>
      </c>
    </row>
    <row r="149" spans="1:7" x14ac:dyDescent="0.25">
      <c r="A149" s="1">
        <v>45517</v>
      </c>
      <c r="B149">
        <v>672.55</v>
      </c>
      <c r="D149" s="3">
        <f t="shared" si="4"/>
        <v>670.55</v>
      </c>
      <c r="G149" s="18">
        <f t="shared" si="5"/>
        <v>4.130755493438909E-2</v>
      </c>
    </row>
    <row r="150" spans="1:7" x14ac:dyDescent="0.25">
      <c r="A150" s="1">
        <v>45516</v>
      </c>
      <c r="B150">
        <v>689.1</v>
      </c>
      <c r="D150" s="3">
        <f t="shared" si="4"/>
        <v>687.1</v>
      </c>
      <c r="G150" s="18">
        <f t="shared" si="5"/>
        <v>2.4681231824621674E-2</v>
      </c>
    </row>
    <row r="151" spans="1:7" x14ac:dyDescent="0.25">
      <c r="A151" s="1">
        <v>45513</v>
      </c>
      <c r="B151">
        <v>703</v>
      </c>
      <c r="D151" s="3">
        <f t="shared" si="4"/>
        <v>701</v>
      </c>
      <c r="G151" s="18">
        <f t="shared" si="5"/>
        <v>2.0229951972056348E-2</v>
      </c>
    </row>
    <row r="152" spans="1:7" x14ac:dyDescent="0.25">
      <c r="A152" s="1">
        <v>45512</v>
      </c>
      <c r="B152">
        <v>699.45</v>
      </c>
      <c r="D152" s="3">
        <f t="shared" si="4"/>
        <v>697.45</v>
      </c>
      <c r="G152" s="18">
        <f t="shared" si="5"/>
        <v>-5.0641940085591752E-3</v>
      </c>
    </row>
    <row r="153" spans="1:7" x14ac:dyDescent="0.25">
      <c r="A153" s="1">
        <v>45511</v>
      </c>
      <c r="B153">
        <v>690</v>
      </c>
      <c r="D153" s="3">
        <f t="shared" si="4"/>
        <v>688</v>
      </c>
      <c r="G153" s="18">
        <f t="shared" si="5"/>
        <v>-1.3549358376944598E-2</v>
      </c>
    </row>
    <row r="154" spans="1:7" x14ac:dyDescent="0.25">
      <c r="A154" s="1">
        <v>45510</v>
      </c>
      <c r="B154">
        <v>683.4</v>
      </c>
      <c r="D154" s="3">
        <f t="shared" si="4"/>
        <v>681.4</v>
      </c>
      <c r="G154" s="18">
        <f t="shared" si="5"/>
        <v>-9.5930232558140149E-3</v>
      </c>
    </row>
    <row r="155" spans="1:7" x14ac:dyDescent="0.25">
      <c r="A155" s="1">
        <v>45509</v>
      </c>
      <c r="B155">
        <v>684.45</v>
      </c>
      <c r="D155" s="3">
        <f t="shared" si="4"/>
        <v>682.45</v>
      </c>
      <c r="G155" s="18">
        <f t="shared" si="5"/>
        <v>1.5409451130028451E-3</v>
      </c>
    </row>
    <row r="156" spans="1:7" x14ac:dyDescent="0.25">
      <c r="A156" s="1">
        <v>45506</v>
      </c>
      <c r="B156">
        <v>722.05</v>
      </c>
      <c r="D156" s="3">
        <f t="shared" si="4"/>
        <v>720.05</v>
      </c>
      <c r="G156" s="18">
        <f t="shared" si="5"/>
        <v>5.509561140010244E-2</v>
      </c>
    </row>
    <row r="157" spans="1:7" x14ac:dyDescent="0.25">
      <c r="A157" s="1">
        <v>45505</v>
      </c>
      <c r="B157">
        <v>727.65</v>
      </c>
      <c r="D157" s="3">
        <f t="shared" si="4"/>
        <v>725.65</v>
      </c>
      <c r="G157" s="18">
        <f t="shared" si="5"/>
        <v>7.7772376918270325E-3</v>
      </c>
    </row>
    <row r="158" spans="1:7" x14ac:dyDescent="0.25">
      <c r="A158" s="1">
        <v>45504</v>
      </c>
      <c r="B158">
        <v>728</v>
      </c>
      <c r="D158" s="3">
        <f t="shared" si="4"/>
        <v>726</v>
      </c>
      <c r="G158" s="18">
        <f t="shared" si="5"/>
        <v>4.8232619031218782E-4</v>
      </c>
    </row>
    <row r="159" spans="1:7" x14ac:dyDescent="0.25">
      <c r="A159" s="1">
        <v>45503</v>
      </c>
      <c r="B159">
        <v>715.25</v>
      </c>
      <c r="D159" s="3">
        <f t="shared" si="4"/>
        <v>713.25</v>
      </c>
      <c r="G159" s="18">
        <f t="shared" si="5"/>
        <v>-1.7561983471074405E-2</v>
      </c>
    </row>
    <row r="160" spans="1:7" x14ac:dyDescent="0.25">
      <c r="A160" s="1">
        <v>45502</v>
      </c>
      <c r="B160">
        <v>692.25</v>
      </c>
      <c r="D160" s="3">
        <f t="shared" si="4"/>
        <v>690.25</v>
      </c>
      <c r="G160" s="18">
        <f t="shared" si="5"/>
        <v>-3.2246757798808257E-2</v>
      </c>
    </row>
    <row r="161" spans="1:7" x14ac:dyDescent="0.25">
      <c r="A161" s="1">
        <v>45499</v>
      </c>
      <c r="B161">
        <v>693.55</v>
      </c>
      <c r="D161" s="3">
        <f t="shared" si="4"/>
        <v>691.55</v>
      </c>
      <c r="G161" s="18">
        <f t="shared" si="5"/>
        <v>1.8833755885547809E-3</v>
      </c>
    </row>
    <row r="162" spans="1:7" x14ac:dyDescent="0.25">
      <c r="A162" s="1">
        <v>45498</v>
      </c>
      <c r="B162">
        <v>668.15</v>
      </c>
      <c r="D162" s="3">
        <f t="shared" si="4"/>
        <v>666.15</v>
      </c>
      <c r="G162" s="18">
        <f t="shared" si="5"/>
        <v>-3.672908683392373E-2</v>
      </c>
    </row>
    <row r="163" spans="1:7" x14ac:dyDescent="0.25">
      <c r="A163" s="1">
        <v>45497</v>
      </c>
      <c r="B163">
        <v>682.35</v>
      </c>
      <c r="D163" s="3">
        <f t="shared" si="4"/>
        <v>680.35</v>
      </c>
      <c r="G163" s="18">
        <f t="shared" si="5"/>
        <v>2.1316520303235054E-2</v>
      </c>
    </row>
    <row r="164" spans="1:7" x14ac:dyDescent="0.25">
      <c r="A164" s="1">
        <v>45496</v>
      </c>
      <c r="B164">
        <v>697.1</v>
      </c>
      <c r="D164" s="3">
        <f t="shared" si="4"/>
        <v>695.1</v>
      </c>
      <c r="G164" s="18">
        <f t="shared" si="5"/>
        <v>2.1680017637980553E-2</v>
      </c>
    </row>
    <row r="165" spans="1:7" x14ac:dyDescent="0.25">
      <c r="A165" s="1">
        <v>45495</v>
      </c>
      <c r="B165">
        <v>709.8</v>
      </c>
      <c r="D165" s="3">
        <f t="shared" si="4"/>
        <v>707.8</v>
      </c>
      <c r="G165" s="18">
        <f t="shared" si="5"/>
        <v>1.8270752409725199E-2</v>
      </c>
    </row>
    <row r="166" spans="1:7" x14ac:dyDescent="0.25">
      <c r="A166" s="1">
        <v>45492</v>
      </c>
      <c r="B166">
        <v>705</v>
      </c>
      <c r="D166" s="3">
        <f t="shared" si="4"/>
        <v>703</v>
      </c>
      <c r="G166" s="18">
        <f t="shared" si="5"/>
        <v>-6.7815767165865237E-3</v>
      </c>
    </row>
    <row r="167" spans="1:7" x14ac:dyDescent="0.25">
      <c r="A167" s="1">
        <v>45491</v>
      </c>
      <c r="B167">
        <v>712.75</v>
      </c>
      <c r="D167" s="3">
        <f t="shared" si="4"/>
        <v>710.75</v>
      </c>
      <c r="G167" s="18">
        <f t="shared" si="5"/>
        <v>1.1024182076813549E-2</v>
      </c>
    </row>
    <row r="168" spans="1:7" x14ac:dyDescent="0.25">
      <c r="A168" s="1">
        <v>45489</v>
      </c>
      <c r="B168">
        <v>708.35</v>
      </c>
      <c r="D168" s="3">
        <f t="shared" si="4"/>
        <v>706.35</v>
      </c>
      <c r="G168" s="18">
        <f t="shared" si="5"/>
        <v>-6.1906436862468883E-3</v>
      </c>
    </row>
    <row r="169" spans="1:7" x14ac:dyDescent="0.25">
      <c r="A169" s="1">
        <v>45488</v>
      </c>
      <c r="B169">
        <v>720.45</v>
      </c>
      <c r="D169" s="3">
        <f t="shared" si="4"/>
        <v>718.45</v>
      </c>
      <c r="G169" s="18">
        <f t="shared" si="5"/>
        <v>1.7130317831103525E-2</v>
      </c>
    </row>
    <row r="170" spans="1:7" x14ac:dyDescent="0.25">
      <c r="A170" s="1">
        <v>45485</v>
      </c>
      <c r="B170">
        <v>713.15</v>
      </c>
      <c r="D170" s="3">
        <f t="shared" si="4"/>
        <v>711.15</v>
      </c>
      <c r="G170" s="18">
        <f t="shared" si="5"/>
        <v>-1.0160762753149255E-2</v>
      </c>
    </row>
    <row r="171" spans="1:7" x14ac:dyDescent="0.25">
      <c r="A171" s="1">
        <v>45484</v>
      </c>
      <c r="B171">
        <v>713</v>
      </c>
      <c r="D171" s="3">
        <f t="shared" si="4"/>
        <v>711</v>
      </c>
      <c r="G171" s="18">
        <f t="shared" si="5"/>
        <v>-2.1092596498628602E-4</v>
      </c>
    </row>
    <row r="172" spans="1:7" x14ac:dyDescent="0.25">
      <c r="A172" s="1">
        <v>45483</v>
      </c>
      <c r="B172">
        <v>724.4</v>
      </c>
      <c r="D172" s="3">
        <f t="shared" si="4"/>
        <v>722.4</v>
      </c>
      <c r="G172" s="18">
        <f t="shared" si="5"/>
        <v>1.6033755274261541E-2</v>
      </c>
    </row>
    <row r="173" spans="1:7" x14ac:dyDescent="0.25">
      <c r="A173" s="1">
        <v>45482</v>
      </c>
      <c r="B173">
        <v>723</v>
      </c>
      <c r="D173" s="3">
        <f t="shared" si="4"/>
        <v>721</v>
      </c>
      <c r="G173" s="18">
        <f t="shared" si="5"/>
        <v>-1.9379844961240345E-3</v>
      </c>
    </row>
    <row r="174" spans="1:7" x14ac:dyDescent="0.25">
      <c r="A174" s="1">
        <v>45481</v>
      </c>
      <c r="B174">
        <v>742.2</v>
      </c>
      <c r="D174" s="3">
        <f t="shared" si="4"/>
        <v>740.2</v>
      </c>
      <c r="G174" s="18">
        <f t="shared" si="5"/>
        <v>2.662968099861307E-2</v>
      </c>
    </row>
    <row r="175" spans="1:7" x14ac:dyDescent="0.25">
      <c r="A175" s="1">
        <v>45478</v>
      </c>
      <c r="B175">
        <v>736.6</v>
      </c>
      <c r="D175" s="3">
        <f t="shared" si="4"/>
        <v>734.6</v>
      </c>
      <c r="G175" s="18">
        <f t="shared" si="5"/>
        <v>-7.5655228316671153E-3</v>
      </c>
    </row>
    <row r="176" spans="1:7" x14ac:dyDescent="0.25">
      <c r="A176" s="1">
        <v>45477</v>
      </c>
      <c r="B176">
        <v>725.05</v>
      </c>
      <c r="D176" s="3">
        <f t="shared" si="4"/>
        <v>723.05</v>
      </c>
      <c r="G176" s="18">
        <f t="shared" si="5"/>
        <v>-1.5722842363190992E-2</v>
      </c>
    </row>
    <row r="177" spans="1:7" x14ac:dyDescent="0.25">
      <c r="A177" s="1">
        <v>45476</v>
      </c>
      <c r="B177">
        <v>733.15</v>
      </c>
      <c r="D177" s="3">
        <f t="shared" si="4"/>
        <v>731.15</v>
      </c>
      <c r="G177" s="18">
        <f t="shared" si="5"/>
        <v>1.1202544775603451E-2</v>
      </c>
    </row>
    <row r="178" spans="1:7" x14ac:dyDescent="0.25">
      <c r="A178" s="1">
        <v>45475</v>
      </c>
      <c r="B178">
        <v>730.5</v>
      </c>
      <c r="D178" s="3">
        <f t="shared" si="4"/>
        <v>728.5</v>
      </c>
      <c r="G178" s="18">
        <f t="shared" si="5"/>
        <v>-3.6244272721055459E-3</v>
      </c>
    </row>
    <row r="179" spans="1:7" x14ac:dyDescent="0.25">
      <c r="A179" s="1">
        <v>45474</v>
      </c>
      <c r="B179">
        <v>750.2</v>
      </c>
      <c r="D179" s="3">
        <f t="shared" si="4"/>
        <v>748.2</v>
      </c>
      <c r="G179" s="18">
        <f t="shared" si="5"/>
        <v>2.7041866849691232E-2</v>
      </c>
    </row>
    <row r="180" spans="1:7" x14ac:dyDescent="0.25">
      <c r="A180" s="1">
        <v>45471</v>
      </c>
      <c r="B180">
        <v>734.5</v>
      </c>
      <c r="D180" s="3">
        <f t="shared" si="4"/>
        <v>732.5</v>
      </c>
      <c r="G180" s="18">
        <f t="shared" si="5"/>
        <v>-2.0983694199411929E-2</v>
      </c>
    </row>
    <row r="181" spans="1:7" x14ac:dyDescent="0.25">
      <c r="A181" s="1">
        <v>45470</v>
      </c>
      <c r="B181">
        <v>735.55</v>
      </c>
      <c r="D181" s="3">
        <f t="shared" si="4"/>
        <v>733.55</v>
      </c>
      <c r="G181" s="18">
        <f t="shared" si="5"/>
        <v>1.4334470989760817E-3</v>
      </c>
    </row>
    <row r="182" spans="1:7" x14ac:dyDescent="0.25">
      <c r="A182" s="1">
        <v>45469</v>
      </c>
      <c r="B182">
        <v>712.3</v>
      </c>
      <c r="D182" s="3">
        <f t="shared" si="4"/>
        <v>710.3</v>
      </c>
      <c r="G182" s="18">
        <f t="shared" si="5"/>
        <v>-3.1695180969259051E-2</v>
      </c>
    </row>
    <row r="183" spans="1:7" x14ac:dyDescent="0.25">
      <c r="A183" s="1">
        <v>45468</v>
      </c>
      <c r="B183">
        <v>720.1</v>
      </c>
      <c r="D183" s="3">
        <f t="shared" si="4"/>
        <v>718.1</v>
      </c>
      <c r="G183" s="18">
        <f t="shared" si="5"/>
        <v>1.0981275517387035E-2</v>
      </c>
    </row>
    <row r="184" spans="1:7" x14ac:dyDescent="0.25">
      <c r="A184" s="1">
        <v>45467</v>
      </c>
      <c r="B184">
        <v>747.1</v>
      </c>
      <c r="D184" s="3">
        <f t="shared" si="4"/>
        <v>745.1</v>
      </c>
      <c r="G184" s="18">
        <f t="shared" si="5"/>
        <v>3.7599220164322489E-2</v>
      </c>
    </row>
    <row r="185" spans="1:7" x14ac:dyDescent="0.25">
      <c r="A185" s="1">
        <v>45464</v>
      </c>
      <c r="B185">
        <v>723.65</v>
      </c>
      <c r="D185" s="3">
        <f t="shared" si="4"/>
        <v>721.65</v>
      </c>
      <c r="G185" s="18">
        <f t="shared" si="5"/>
        <v>-3.1472285599248528E-2</v>
      </c>
    </row>
    <row r="186" spans="1:7" x14ac:dyDescent="0.25">
      <c r="A186" s="1">
        <v>45463</v>
      </c>
      <c r="B186">
        <v>707.1</v>
      </c>
      <c r="D186" s="3">
        <f t="shared" si="4"/>
        <v>705.1</v>
      </c>
      <c r="G186" s="18">
        <f t="shared" si="5"/>
        <v>-2.2933555047460641E-2</v>
      </c>
    </row>
    <row r="187" spans="1:7" x14ac:dyDescent="0.25">
      <c r="A187" s="1">
        <v>45462</v>
      </c>
      <c r="B187">
        <v>698.4</v>
      </c>
      <c r="D187" s="3">
        <f t="shared" si="4"/>
        <v>696.4</v>
      </c>
      <c r="G187" s="18">
        <f t="shared" si="5"/>
        <v>-1.2338675365196505E-2</v>
      </c>
    </row>
    <row r="188" spans="1:7" x14ac:dyDescent="0.25">
      <c r="A188" s="1">
        <v>45461</v>
      </c>
      <c r="B188">
        <v>706.7</v>
      </c>
      <c r="D188" s="3">
        <f t="shared" si="4"/>
        <v>704.7</v>
      </c>
      <c r="G188" s="18">
        <f t="shared" si="5"/>
        <v>1.1918437679494742E-2</v>
      </c>
    </row>
    <row r="189" spans="1:7" x14ac:dyDescent="0.25">
      <c r="A189" s="1">
        <v>45457</v>
      </c>
      <c r="B189">
        <v>683.6</v>
      </c>
      <c r="D189" s="3">
        <f t="shared" si="4"/>
        <v>681.6</v>
      </c>
      <c r="G189" s="18">
        <f t="shared" si="5"/>
        <v>-3.2779906343124776E-2</v>
      </c>
    </row>
    <row r="190" spans="1:7" x14ac:dyDescent="0.25">
      <c r="A190" s="1">
        <v>45456</v>
      </c>
      <c r="B190">
        <v>659.45</v>
      </c>
      <c r="D190" s="3">
        <f t="shared" si="4"/>
        <v>657.45</v>
      </c>
      <c r="G190" s="18">
        <f t="shared" si="5"/>
        <v>-3.5431338028169002E-2</v>
      </c>
    </row>
    <row r="191" spans="1:7" x14ac:dyDescent="0.25">
      <c r="A191" s="1">
        <v>45455</v>
      </c>
      <c r="B191">
        <v>650.25</v>
      </c>
      <c r="D191" s="3">
        <f t="shared" si="4"/>
        <v>648.25</v>
      </c>
      <c r="G191" s="18">
        <f t="shared" si="5"/>
        <v>-1.399345957867526E-2</v>
      </c>
    </row>
    <row r="192" spans="1:7" x14ac:dyDescent="0.25">
      <c r="A192" s="1">
        <v>45454</v>
      </c>
      <c r="B192">
        <v>638</v>
      </c>
      <c r="D192" s="3">
        <f t="shared" si="4"/>
        <v>636</v>
      </c>
      <c r="G192" s="18">
        <f t="shared" si="5"/>
        <v>-1.8897030466640929E-2</v>
      </c>
    </row>
    <row r="193" spans="1:7" x14ac:dyDescent="0.25">
      <c r="A193" s="1">
        <v>45453</v>
      </c>
      <c r="B193">
        <v>629.65</v>
      </c>
      <c r="D193" s="3">
        <f t="shared" si="4"/>
        <v>627.65</v>
      </c>
      <c r="G193" s="18">
        <f t="shared" si="5"/>
        <v>-1.3128930817610129E-2</v>
      </c>
    </row>
    <row r="194" spans="1:7" x14ac:dyDescent="0.25">
      <c r="A194" s="1">
        <v>45450</v>
      </c>
      <c r="B194">
        <v>625.95000000000005</v>
      </c>
      <c r="D194" s="3">
        <f t="shared" si="4"/>
        <v>623.95000000000005</v>
      </c>
      <c r="G194" s="18">
        <f t="shared" si="5"/>
        <v>-5.8950051780449764E-3</v>
      </c>
    </row>
    <row r="195" spans="1:7" x14ac:dyDescent="0.25">
      <c r="A195" s="1">
        <v>45449</v>
      </c>
      <c r="B195">
        <v>625.1</v>
      </c>
      <c r="D195" s="3">
        <f t="shared" ref="D195:D248" si="6">B195-2</f>
        <v>623.1</v>
      </c>
      <c r="G195" s="18">
        <f t="shared" si="5"/>
        <v>-1.3622886449234928E-3</v>
      </c>
    </row>
    <row r="196" spans="1:7" x14ac:dyDescent="0.25">
      <c r="A196" s="1">
        <v>45448</v>
      </c>
      <c r="B196">
        <v>608.54999999999995</v>
      </c>
      <c r="D196" s="3">
        <f t="shared" si="6"/>
        <v>606.54999999999995</v>
      </c>
      <c r="G196" s="18">
        <f t="shared" ref="G196:G248" si="7">(D196/D195)-1</f>
        <v>-2.6560744663778002E-2</v>
      </c>
    </row>
    <row r="197" spans="1:7" x14ac:dyDescent="0.25">
      <c r="A197" s="1">
        <v>45447</v>
      </c>
      <c r="B197">
        <v>553.29999999999995</v>
      </c>
      <c r="D197" s="3">
        <f t="shared" si="6"/>
        <v>551.29999999999995</v>
      </c>
      <c r="G197" s="18">
        <f t="shared" si="7"/>
        <v>-9.1088945676366384E-2</v>
      </c>
    </row>
    <row r="198" spans="1:7" x14ac:dyDescent="0.25">
      <c r="A198" s="1">
        <v>45446</v>
      </c>
      <c r="B198">
        <v>658.7</v>
      </c>
      <c r="D198" s="3">
        <f t="shared" si="6"/>
        <v>656.7</v>
      </c>
      <c r="G198" s="18">
        <f t="shared" si="7"/>
        <v>0.19118447306366781</v>
      </c>
    </row>
    <row r="199" spans="1:7" x14ac:dyDescent="0.25">
      <c r="A199" s="1">
        <v>45443</v>
      </c>
      <c r="B199">
        <v>613</v>
      </c>
      <c r="D199" s="3">
        <f t="shared" si="6"/>
        <v>611</v>
      </c>
      <c r="G199" s="18">
        <f t="shared" si="7"/>
        <v>-6.9590376123039532E-2</v>
      </c>
    </row>
    <row r="200" spans="1:7" x14ac:dyDescent="0.25">
      <c r="A200" s="1">
        <v>45442</v>
      </c>
      <c r="B200">
        <v>609</v>
      </c>
      <c r="D200" s="3">
        <f t="shared" si="6"/>
        <v>607</v>
      </c>
      <c r="G200" s="18">
        <f t="shared" si="7"/>
        <v>-6.5466448445171688E-3</v>
      </c>
    </row>
    <row r="201" spans="1:7" x14ac:dyDescent="0.25">
      <c r="A201" s="1">
        <v>45441</v>
      </c>
      <c r="B201">
        <v>604.20000000000005</v>
      </c>
      <c r="D201" s="3">
        <f t="shared" si="6"/>
        <v>602.20000000000005</v>
      </c>
      <c r="G201" s="18">
        <f t="shared" si="7"/>
        <v>-7.9077429983525072E-3</v>
      </c>
    </row>
    <row r="202" spans="1:7" x14ac:dyDescent="0.25">
      <c r="A202" s="1">
        <v>45440</v>
      </c>
      <c r="B202">
        <v>612.95000000000005</v>
      </c>
      <c r="D202" s="3">
        <f t="shared" si="6"/>
        <v>610.95000000000005</v>
      </c>
      <c r="G202" s="18">
        <f t="shared" si="7"/>
        <v>1.4530056459648E-2</v>
      </c>
    </row>
    <row r="203" spans="1:7" x14ac:dyDescent="0.25">
      <c r="A203" s="1">
        <v>45439</v>
      </c>
      <c r="B203">
        <v>621.1</v>
      </c>
      <c r="D203" s="3">
        <f t="shared" si="6"/>
        <v>619.1</v>
      </c>
      <c r="G203" s="18">
        <f t="shared" si="7"/>
        <v>1.3339880513953739E-2</v>
      </c>
    </row>
    <row r="204" spans="1:7" x14ac:dyDescent="0.25">
      <c r="A204" s="1">
        <v>45436</v>
      </c>
      <c r="B204">
        <v>600.65</v>
      </c>
      <c r="D204" s="3">
        <f t="shared" si="6"/>
        <v>598.65</v>
      </c>
      <c r="G204" s="18">
        <f t="shared" si="7"/>
        <v>-3.3031820384429089E-2</v>
      </c>
    </row>
    <row r="205" spans="1:7" x14ac:dyDescent="0.25">
      <c r="A205" s="1">
        <v>45435</v>
      </c>
      <c r="B205">
        <v>617.45000000000005</v>
      </c>
      <c r="D205" s="3">
        <f t="shared" si="6"/>
        <v>615.45000000000005</v>
      </c>
      <c r="G205" s="18">
        <f t="shared" si="7"/>
        <v>2.8063142069656877E-2</v>
      </c>
    </row>
    <row r="206" spans="1:7" x14ac:dyDescent="0.25">
      <c r="A206" s="1">
        <v>45434</v>
      </c>
      <c r="B206">
        <v>609.45000000000005</v>
      </c>
      <c r="D206" s="3">
        <f t="shared" si="6"/>
        <v>607.45000000000005</v>
      </c>
      <c r="G206" s="18">
        <f t="shared" si="7"/>
        <v>-1.2998618896742253E-2</v>
      </c>
    </row>
    <row r="207" spans="1:7" x14ac:dyDescent="0.25">
      <c r="A207" s="1">
        <v>45433</v>
      </c>
      <c r="B207">
        <v>603.9</v>
      </c>
      <c r="D207" s="3">
        <f t="shared" si="6"/>
        <v>601.9</v>
      </c>
      <c r="G207" s="18">
        <f t="shared" si="7"/>
        <v>-9.1365544489259154E-3</v>
      </c>
    </row>
    <row r="208" spans="1:7" x14ac:dyDescent="0.25">
      <c r="A208" s="1">
        <v>45430</v>
      </c>
      <c r="B208">
        <v>597.75</v>
      </c>
      <c r="D208" s="3">
        <f t="shared" si="6"/>
        <v>595.75</v>
      </c>
      <c r="G208" s="18">
        <f t="shared" si="7"/>
        <v>-1.021764412693138E-2</v>
      </c>
    </row>
    <row r="209" spans="1:7" x14ac:dyDescent="0.25">
      <c r="A209" s="1">
        <v>45429</v>
      </c>
      <c r="B209">
        <v>593.9</v>
      </c>
      <c r="D209" s="3">
        <f t="shared" si="6"/>
        <v>591.9</v>
      </c>
      <c r="G209" s="18">
        <f t="shared" si="7"/>
        <v>-6.4624422996223396E-3</v>
      </c>
    </row>
    <row r="210" spans="1:7" x14ac:dyDescent="0.25">
      <c r="A210" s="1">
        <v>45428</v>
      </c>
      <c r="B210">
        <v>594.15</v>
      </c>
      <c r="D210" s="3">
        <f t="shared" si="6"/>
        <v>592.15</v>
      </c>
      <c r="G210" s="18">
        <f t="shared" si="7"/>
        <v>4.2236864335198909E-4</v>
      </c>
    </row>
    <row r="211" spans="1:7" x14ac:dyDescent="0.25">
      <c r="A211" s="1">
        <v>45427</v>
      </c>
      <c r="B211">
        <v>598.04999999999995</v>
      </c>
      <c r="D211" s="3">
        <f t="shared" si="6"/>
        <v>596.04999999999995</v>
      </c>
      <c r="G211" s="18">
        <f t="shared" si="7"/>
        <v>6.5861690450055299E-3</v>
      </c>
    </row>
    <row r="212" spans="1:7" x14ac:dyDescent="0.25">
      <c r="A212" s="1">
        <v>45426</v>
      </c>
      <c r="B212">
        <v>599.70000000000005</v>
      </c>
      <c r="D212" s="3">
        <f t="shared" si="6"/>
        <v>597.70000000000005</v>
      </c>
      <c r="G212" s="18">
        <f t="shared" si="7"/>
        <v>2.7682241422701814E-3</v>
      </c>
    </row>
    <row r="213" spans="1:7" x14ac:dyDescent="0.25">
      <c r="A213" s="1">
        <v>45425</v>
      </c>
      <c r="B213">
        <v>574.4</v>
      </c>
      <c r="D213" s="3">
        <f t="shared" si="6"/>
        <v>572.4</v>
      </c>
      <c r="G213" s="18">
        <f t="shared" si="7"/>
        <v>-4.2328927555630003E-2</v>
      </c>
    </row>
    <row r="214" spans="1:7" x14ac:dyDescent="0.25">
      <c r="A214" s="1">
        <v>45422</v>
      </c>
      <c r="B214">
        <v>570.25</v>
      </c>
      <c r="D214" s="3">
        <f t="shared" si="6"/>
        <v>568.25</v>
      </c>
      <c r="G214" s="18">
        <f t="shared" si="7"/>
        <v>-7.2501747030048191E-3</v>
      </c>
    </row>
    <row r="215" spans="1:7" x14ac:dyDescent="0.25">
      <c r="A215" s="1">
        <v>45421</v>
      </c>
      <c r="B215">
        <v>530.95000000000005</v>
      </c>
      <c r="D215" s="3">
        <f t="shared" si="6"/>
        <v>528.95000000000005</v>
      </c>
      <c r="G215" s="18">
        <f t="shared" si="7"/>
        <v>-6.9159700835899618E-2</v>
      </c>
    </row>
    <row r="216" spans="1:7" x14ac:dyDescent="0.25">
      <c r="A216" s="1">
        <v>45420</v>
      </c>
      <c r="B216">
        <v>557.25</v>
      </c>
      <c r="D216" s="3">
        <f t="shared" si="6"/>
        <v>555.25</v>
      </c>
      <c r="G216" s="18">
        <f t="shared" si="7"/>
        <v>4.9721145665941879E-2</v>
      </c>
    </row>
    <row r="217" spans="1:7" x14ac:dyDescent="0.25">
      <c r="A217" s="1">
        <v>45419</v>
      </c>
      <c r="B217">
        <v>584.04999999999995</v>
      </c>
      <c r="D217" s="3">
        <f t="shared" si="6"/>
        <v>582.04999999999995</v>
      </c>
      <c r="G217" s="18">
        <f t="shared" si="7"/>
        <v>4.8266546600630233E-2</v>
      </c>
    </row>
    <row r="218" spans="1:7" x14ac:dyDescent="0.25">
      <c r="A218" s="1">
        <v>45418</v>
      </c>
      <c r="B218">
        <v>617.54999999999995</v>
      </c>
      <c r="D218" s="3">
        <f t="shared" si="6"/>
        <v>615.54999999999995</v>
      </c>
      <c r="G218" s="18">
        <f t="shared" si="7"/>
        <v>5.7555192852847714E-2</v>
      </c>
    </row>
    <row r="219" spans="1:7" x14ac:dyDescent="0.25">
      <c r="A219" s="1">
        <v>45415</v>
      </c>
      <c r="B219">
        <v>642.20000000000005</v>
      </c>
      <c r="D219" s="3">
        <f t="shared" si="6"/>
        <v>640.20000000000005</v>
      </c>
      <c r="G219" s="18">
        <f t="shared" si="7"/>
        <v>4.0045487775160593E-2</v>
      </c>
    </row>
    <row r="220" spans="1:7" x14ac:dyDescent="0.25">
      <c r="A220" s="1">
        <v>45414</v>
      </c>
      <c r="B220">
        <v>638.25</v>
      </c>
      <c r="D220" s="3">
        <f t="shared" si="6"/>
        <v>636.25</v>
      </c>
      <c r="G220" s="18">
        <f t="shared" si="7"/>
        <v>-6.169946891596445E-3</v>
      </c>
    </row>
    <row r="221" spans="1:7" x14ac:dyDescent="0.25">
      <c r="A221" s="1">
        <v>45412</v>
      </c>
      <c r="B221">
        <v>629.54999999999995</v>
      </c>
      <c r="D221" s="3">
        <f t="shared" si="6"/>
        <v>627.54999999999995</v>
      </c>
      <c r="G221" s="18">
        <f t="shared" si="7"/>
        <v>-1.3673870333988258E-2</v>
      </c>
    </row>
    <row r="222" spans="1:7" x14ac:dyDescent="0.25">
      <c r="A222" s="1">
        <v>45411</v>
      </c>
      <c r="B222">
        <v>603.29999999999995</v>
      </c>
      <c r="D222" s="3">
        <f t="shared" si="6"/>
        <v>601.29999999999995</v>
      </c>
      <c r="G222" s="18">
        <f t="shared" si="7"/>
        <v>-4.1829336307863896E-2</v>
      </c>
    </row>
    <row r="223" spans="1:7" x14ac:dyDescent="0.25">
      <c r="A223" s="1">
        <v>45408</v>
      </c>
      <c r="B223">
        <v>600.9</v>
      </c>
      <c r="D223" s="3">
        <f t="shared" si="6"/>
        <v>598.9</v>
      </c>
      <c r="G223" s="18">
        <f t="shared" si="7"/>
        <v>-3.9913520705138206E-3</v>
      </c>
    </row>
    <row r="224" spans="1:7" x14ac:dyDescent="0.25">
      <c r="A224" s="1">
        <v>45407</v>
      </c>
      <c r="B224">
        <v>604.70000000000005</v>
      </c>
      <c r="D224" s="3">
        <f t="shared" si="6"/>
        <v>602.70000000000005</v>
      </c>
      <c r="G224" s="18">
        <f t="shared" si="7"/>
        <v>6.3449657705794138E-3</v>
      </c>
    </row>
    <row r="225" spans="1:7" x14ac:dyDescent="0.25">
      <c r="A225" s="1">
        <v>45406</v>
      </c>
      <c r="B225">
        <v>600.4</v>
      </c>
      <c r="D225" s="3">
        <f t="shared" si="6"/>
        <v>598.4</v>
      </c>
      <c r="G225" s="18">
        <f t="shared" si="7"/>
        <v>-7.1345611415298826E-3</v>
      </c>
    </row>
    <row r="226" spans="1:7" x14ac:dyDescent="0.25">
      <c r="A226" s="1">
        <v>45405</v>
      </c>
      <c r="B226">
        <v>616.35</v>
      </c>
      <c r="D226" s="3">
        <f t="shared" si="6"/>
        <v>614.35</v>
      </c>
      <c r="G226" s="18">
        <f t="shared" si="7"/>
        <v>2.6654411764706065E-2</v>
      </c>
    </row>
    <row r="227" spans="1:7" x14ac:dyDescent="0.25">
      <c r="A227" s="1">
        <v>45404</v>
      </c>
      <c r="B227">
        <v>611.45000000000005</v>
      </c>
      <c r="D227" s="3">
        <f t="shared" si="6"/>
        <v>609.45000000000005</v>
      </c>
      <c r="G227" s="18">
        <f t="shared" si="7"/>
        <v>-7.9759094978432143E-3</v>
      </c>
    </row>
    <row r="228" spans="1:7" x14ac:dyDescent="0.25">
      <c r="A228" s="1">
        <v>45401</v>
      </c>
      <c r="B228">
        <v>626.70000000000005</v>
      </c>
      <c r="D228" s="3">
        <f t="shared" si="6"/>
        <v>624.70000000000005</v>
      </c>
      <c r="G228" s="18">
        <f t="shared" si="7"/>
        <v>2.5022561325785508E-2</v>
      </c>
    </row>
    <row r="229" spans="1:7" x14ac:dyDescent="0.25">
      <c r="A229" s="1">
        <v>45400</v>
      </c>
      <c r="B229">
        <v>628.5</v>
      </c>
      <c r="D229" s="3">
        <f t="shared" si="6"/>
        <v>626.5</v>
      </c>
      <c r="G229" s="18">
        <f t="shared" si="7"/>
        <v>2.8813830638705351E-3</v>
      </c>
    </row>
    <row r="230" spans="1:7" x14ac:dyDescent="0.25">
      <c r="A230" s="1">
        <v>45398</v>
      </c>
      <c r="B230">
        <v>602.04999999999995</v>
      </c>
      <c r="D230" s="3">
        <f t="shared" si="6"/>
        <v>600.04999999999995</v>
      </c>
      <c r="G230" s="18">
        <f t="shared" si="7"/>
        <v>-4.2218675179569121E-2</v>
      </c>
    </row>
    <row r="231" spans="1:7" x14ac:dyDescent="0.25">
      <c r="A231" s="1">
        <v>45397</v>
      </c>
      <c r="B231">
        <v>609.5</v>
      </c>
      <c r="D231" s="3">
        <f t="shared" si="6"/>
        <v>607.5</v>
      </c>
      <c r="G231" s="18">
        <f t="shared" si="7"/>
        <v>1.2415632030664092E-2</v>
      </c>
    </row>
    <row r="232" spans="1:7" x14ac:dyDescent="0.25">
      <c r="A232" s="1">
        <v>45394</v>
      </c>
      <c r="B232">
        <v>616.45000000000005</v>
      </c>
      <c r="D232" s="3">
        <f t="shared" si="6"/>
        <v>614.45000000000005</v>
      </c>
      <c r="G232" s="18">
        <f t="shared" si="7"/>
        <v>1.1440329218107115E-2</v>
      </c>
    </row>
    <row r="233" spans="1:7" x14ac:dyDescent="0.25">
      <c r="A233" s="1">
        <v>45392</v>
      </c>
      <c r="B233">
        <v>616.04999999999995</v>
      </c>
      <c r="D233" s="3">
        <f t="shared" si="6"/>
        <v>614.04999999999995</v>
      </c>
      <c r="G233" s="18">
        <f t="shared" si="7"/>
        <v>-6.5098868907165208E-4</v>
      </c>
    </row>
    <row r="234" spans="1:7" x14ac:dyDescent="0.25">
      <c r="A234" s="1">
        <v>45391</v>
      </c>
      <c r="B234">
        <v>613.1</v>
      </c>
      <c r="D234" s="3">
        <f t="shared" si="6"/>
        <v>611.1</v>
      </c>
      <c r="G234" s="18">
        <f t="shared" si="7"/>
        <v>-4.8041690416088523E-3</v>
      </c>
    </row>
    <row r="235" spans="1:7" x14ac:dyDescent="0.25">
      <c r="A235" s="1">
        <v>45390</v>
      </c>
      <c r="B235">
        <v>627.5</v>
      </c>
      <c r="D235" s="3">
        <f t="shared" si="6"/>
        <v>625.5</v>
      </c>
      <c r="G235" s="18">
        <f t="shared" si="7"/>
        <v>2.356406480117812E-2</v>
      </c>
    </row>
    <row r="236" spans="1:7" x14ac:dyDescent="0.25">
      <c r="A236" s="1">
        <v>45387</v>
      </c>
      <c r="B236">
        <v>599.1</v>
      </c>
      <c r="D236" s="3">
        <f t="shared" si="6"/>
        <v>597.1</v>
      </c>
      <c r="G236" s="18">
        <f t="shared" si="7"/>
        <v>-4.5403677058353242E-2</v>
      </c>
    </row>
    <row r="237" spans="1:7" x14ac:dyDescent="0.25">
      <c r="A237" s="1">
        <v>45386</v>
      </c>
      <c r="B237">
        <v>583.04999999999995</v>
      </c>
      <c r="D237" s="3">
        <f t="shared" si="6"/>
        <v>581.04999999999995</v>
      </c>
      <c r="G237" s="18">
        <f t="shared" si="7"/>
        <v>-2.6879919611455527E-2</v>
      </c>
    </row>
    <row r="238" spans="1:7" x14ac:dyDescent="0.25">
      <c r="A238" s="1">
        <v>45385</v>
      </c>
      <c r="B238">
        <v>581.35</v>
      </c>
      <c r="D238" s="3">
        <f t="shared" si="6"/>
        <v>579.35</v>
      </c>
      <c r="G238" s="18">
        <f t="shared" si="7"/>
        <v>-2.9257378883055241E-3</v>
      </c>
    </row>
    <row r="239" spans="1:7" x14ac:dyDescent="0.25">
      <c r="A239" s="1">
        <v>45384</v>
      </c>
      <c r="B239">
        <v>542.20000000000005</v>
      </c>
      <c r="D239" s="3">
        <f t="shared" si="6"/>
        <v>540.20000000000005</v>
      </c>
      <c r="G239" s="18">
        <f t="shared" si="7"/>
        <v>-6.7575731423146546E-2</v>
      </c>
    </row>
    <row r="240" spans="1:7" x14ac:dyDescent="0.25">
      <c r="A240" s="1">
        <v>45383</v>
      </c>
      <c r="B240">
        <v>518.45000000000005</v>
      </c>
      <c r="D240" s="3">
        <f t="shared" si="6"/>
        <v>516.45000000000005</v>
      </c>
      <c r="G240" s="18">
        <f t="shared" si="7"/>
        <v>-4.396519807478716E-2</v>
      </c>
    </row>
    <row r="241" spans="1:7" x14ac:dyDescent="0.25">
      <c r="A241" s="1">
        <v>45379</v>
      </c>
      <c r="B241">
        <v>528.9</v>
      </c>
      <c r="D241" s="3">
        <f t="shared" si="6"/>
        <v>526.9</v>
      </c>
      <c r="G241" s="18">
        <f t="shared" si="7"/>
        <v>2.0234291799786863E-2</v>
      </c>
    </row>
    <row r="242" spans="1:7" x14ac:dyDescent="0.25">
      <c r="A242" s="1">
        <v>45378</v>
      </c>
      <c r="B242">
        <v>516.65</v>
      </c>
      <c r="D242" s="3">
        <f t="shared" si="6"/>
        <v>514.65</v>
      </c>
      <c r="G242" s="18">
        <f t="shared" si="7"/>
        <v>-2.3249193395331158E-2</v>
      </c>
    </row>
    <row r="243" spans="1:7" x14ac:dyDescent="0.25">
      <c r="A243" s="1">
        <v>45377</v>
      </c>
      <c r="B243">
        <v>513.20000000000005</v>
      </c>
      <c r="D243" s="3">
        <f t="shared" si="6"/>
        <v>511.20000000000005</v>
      </c>
      <c r="G243" s="18">
        <f t="shared" si="7"/>
        <v>-6.7035849606527087E-3</v>
      </c>
    </row>
    <row r="244" spans="1:7" x14ac:dyDescent="0.25">
      <c r="A244" s="1">
        <v>45373</v>
      </c>
      <c r="B244">
        <v>515.45000000000005</v>
      </c>
      <c r="D244" s="3">
        <f t="shared" si="6"/>
        <v>513.45000000000005</v>
      </c>
      <c r="G244" s="18">
        <f t="shared" si="7"/>
        <v>4.4014084507042472E-3</v>
      </c>
    </row>
    <row r="245" spans="1:7" x14ac:dyDescent="0.25">
      <c r="A245" s="1">
        <v>45372</v>
      </c>
      <c r="B245">
        <v>504.55</v>
      </c>
      <c r="D245" s="3">
        <f t="shared" si="6"/>
        <v>502.55</v>
      </c>
      <c r="G245" s="18">
        <f t="shared" si="7"/>
        <v>-2.122894147434029E-2</v>
      </c>
    </row>
    <row r="246" spans="1:7" x14ac:dyDescent="0.25">
      <c r="A246" s="1">
        <v>45371</v>
      </c>
      <c r="B246">
        <v>489.15</v>
      </c>
      <c r="D246" s="3">
        <f t="shared" si="6"/>
        <v>487.15</v>
      </c>
      <c r="G246" s="18">
        <f t="shared" si="7"/>
        <v>-3.0643717043080332E-2</v>
      </c>
    </row>
    <row r="247" spans="1:7" x14ac:dyDescent="0.25">
      <c r="A247" s="1">
        <v>45370</v>
      </c>
      <c r="B247">
        <v>482.8</v>
      </c>
      <c r="D247" s="3">
        <f t="shared" si="6"/>
        <v>480.8</v>
      </c>
      <c r="G247" s="18">
        <f t="shared" si="7"/>
        <v>-1.3034999486810972E-2</v>
      </c>
    </row>
    <row r="248" spans="1:7" x14ac:dyDescent="0.25">
      <c r="A248" s="1">
        <v>45369</v>
      </c>
      <c r="B248">
        <v>495.4</v>
      </c>
      <c r="D248" s="3">
        <f t="shared" si="6"/>
        <v>493.4</v>
      </c>
      <c r="G248" s="18">
        <f t="shared" si="7"/>
        <v>2.6206322795341075E-2</v>
      </c>
    </row>
  </sheetData>
  <conditionalFormatting sqref="G3:G248"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D6F6F13-0046-405A-9614-149DA780D1AD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G3:G248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3BF0F-1594-45E8-87D8-5925BA57A382}">
  <dimension ref="A1:O248"/>
  <sheetViews>
    <sheetView workbookViewId="0">
      <selection activeCell="H11" sqref="H11"/>
    </sheetView>
  </sheetViews>
  <sheetFormatPr defaultRowHeight="15" x14ac:dyDescent="0.25"/>
  <cols>
    <col min="1" max="1" width="11.28515625" customWidth="1"/>
    <col min="2" max="2" width="10.7109375" customWidth="1"/>
    <col min="3" max="3" width="41.140625" style="17" customWidth="1"/>
    <col min="14" max="14" width="32.42578125" bestFit="1" customWidth="1"/>
    <col min="15" max="15" width="10.5703125" bestFit="1" customWidth="1"/>
  </cols>
  <sheetData>
    <row r="1" spans="1:15" x14ac:dyDescent="0.25">
      <c r="A1" s="68" t="s">
        <v>0</v>
      </c>
      <c r="B1" s="69" t="s">
        <v>11</v>
      </c>
      <c r="C1" s="70" t="s">
        <v>76</v>
      </c>
      <c r="D1" s="25"/>
    </row>
    <row r="2" spans="1:15" x14ac:dyDescent="0.25">
      <c r="A2" s="62">
        <v>45729</v>
      </c>
      <c r="B2" s="25">
        <v>514.1</v>
      </c>
      <c r="C2" s="63">
        <f>((B2-C3)*$O$5)+C3</f>
        <v>598.92785202273649</v>
      </c>
      <c r="D2" s="25"/>
    </row>
    <row r="3" spans="1:15" x14ac:dyDescent="0.25">
      <c r="A3" s="62">
        <v>45728</v>
      </c>
      <c r="B3" s="25">
        <v>515.20000000000005</v>
      </c>
      <c r="C3" s="63">
        <f>((B3-C4)*$O$5)+C4</f>
        <v>599.61750935625469</v>
      </c>
      <c r="D3" s="25"/>
      <c r="O3" s="19"/>
    </row>
    <row r="4" spans="1:15" x14ac:dyDescent="0.25">
      <c r="A4" s="62">
        <v>45727</v>
      </c>
      <c r="B4" s="25">
        <v>513.75</v>
      </c>
      <c r="C4" s="63">
        <f t="shared" ref="C4:C65" si="0">((B4-C5)*$O$5)+C5</f>
        <v>600.30383057053314</v>
      </c>
      <c r="D4" s="25"/>
      <c r="N4" s="13" t="s">
        <v>54</v>
      </c>
      <c r="O4" s="21">
        <v>247</v>
      </c>
    </row>
    <row r="5" spans="1:15" x14ac:dyDescent="0.25">
      <c r="A5" s="62">
        <v>45726</v>
      </c>
      <c r="B5" s="25">
        <v>505.35</v>
      </c>
      <c r="C5" s="63">
        <f t="shared" si="0"/>
        <v>601.00752024996837</v>
      </c>
      <c r="D5" s="25"/>
      <c r="N5" s="13" t="s">
        <v>53</v>
      </c>
      <c r="O5" s="22">
        <f>2/(COUNT(B2:B248)+1)</f>
        <v>8.0645161290322578E-3</v>
      </c>
    </row>
    <row r="6" spans="1:15" x14ac:dyDescent="0.25">
      <c r="A6" s="62">
        <v>45723</v>
      </c>
      <c r="B6" s="25">
        <v>491.7</v>
      </c>
      <c r="C6" s="63">
        <f t="shared" si="0"/>
        <v>601.78522366663481</v>
      </c>
      <c r="D6" s="25"/>
      <c r="I6" s="59" t="s">
        <v>58</v>
      </c>
      <c r="J6" s="59"/>
      <c r="K6" s="59"/>
      <c r="L6" s="59"/>
      <c r="M6" s="59"/>
      <c r="N6" s="13" t="s">
        <v>55</v>
      </c>
      <c r="O6" s="23">
        <f xml:space="preserve"> SUM(B2:B248)/247</f>
        <v>636.45121457489904</v>
      </c>
    </row>
    <row r="7" spans="1:15" x14ac:dyDescent="0.25">
      <c r="A7" s="62">
        <v>45722</v>
      </c>
      <c r="B7" s="25">
        <v>499.6</v>
      </c>
      <c r="C7" s="63">
        <f t="shared" si="0"/>
        <v>602.68022548506269</v>
      </c>
      <c r="D7" s="25"/>
      <c r="N7" s="13" t="s">
        <v>56</v>
      </c>
      <c r="O7" s="22">
        <f>AVERAGE(C2:C239)</f>
        <v>595.59779076135897</v>
      </c>
    </row>
    <row r="8" spans="1:15" x14ac:dyDescent="0.25">
      <c r="A8" s="62">
        <v>45721</v>
      </c>
      <c r="B8" s="25">
        <v>509.1</v>
      </c>
      <c r="C8" s="63">
        <f t="shared" si="0"/>
        <v>603.51827609876239</v>
      </c>
      <c r="D8" s="25"/>
      <c r="O8" s="20"/>
    </row>
    <row r="9" spans="1:15" x14ac:dyDescent="0.25">
      <c r="A9" s="62">
        <v>45720</v>
      </c>
      <c r="B9" s="25">
        <v>481.25</v>
      </c>
      <c r="C9" s="63">
        <f t="shared" si="0"/>
        <v>604.28590435972797</v>
      </c>
      <c r="D9" s="25"/>
      <c r="O9" s="20"/>
    </row>
    <row r="10" spans="1:15" x14ac:dyDescent="0.25">
      <c r="A10" s="62">
        <v>45719</v>
      </c>
      <c r="B10" s="25">
        <v>473.85</v>
      </c>
      <c r="C10" s="63">
        <f t="shared" si="0"/>
        <v>605.28619626509158</v>
      </c>
      <c r="D10" s="25"/>
      <c r="O10" s="20"/>
    </row>
    <row r="11" spans="1:15" x14ac:dyDescent="0.25">
      <c r="A11" s="62">
        <v>45716</v>
      </c>
      <c r="B11" s="25">
        <v>464.1</v>
      </c>
      <c r="C11" s="63">
        <f t="shared" si="0"/>
        <v>606.3547832265964</v>
      </c>
      <c r="D11" s="25"/>
      <c r="O11" s="20"/>
    </row>
    <row r="12" spans="1:15" x14ac:dyDescent="0.25">
      <c r="A12" s="62">
        <v>45715</v>
      </c>
      <c r="B12" s="25">
        <v>458.8</v>
      </c>
      <c r="C12" s="63">
        <f t="shared" si="0"/>
        <v>607.51132617965811</v>
      </c>
      <c r="D12" s="25"/>
      <c r="O12" s="16"/>
    </row>
    <row r="13" spans="1:15" x14ac:dyDescent="0.25">
      <c r="A13" s="62">
        <v>45713</v>
      </c>
      <c r="B13" s="25">
        <v>467.25</v>
      </c>
      <c r="C13" s="63">
        <f t="shared" si="0"/>
        <v>608.72036135185044</v>
      </c>
      <c r="D13" s="25"/>
      <c r="O13" s="16"/>
    </row>
    <row r="14" spans="1:15" x14ac:dyDescent="0.25">
      <c r="A14" s="62">
        <v>45712</v>
      </c>
      <c r="B14" s="25">
        <v>479.7</v>
      </c>
      <c r="C14" s="63">
        <f t="shared" si="0"/>
        <v>609.87052689129644</v>
      </c>
      <c r="D14" s="25"/>
      <c r="O14" s="16"/>
    </row>
    <row r="15" spans="1:15" x14ac:dyDescent="0.25">
      <c r="A15" s="62">
        <v>45709</v>
      </c>
      <c r="B15" s="25">
        <v>496.6</v>
      </c>
      <c r="C15" s="63">
        <f t="shared" si="0"/>
        <v>610.92882385789233</v>
      </c>
      <c r="D15" s="25"/>
    </row>
    <row r="16" spans="1:15" x14ac:dyDescent="0.25">
      <c r="A16" s="62">
        <v>45708</v>
      </c>
      <c r="B16" s="25">
        <v>468.55</v>
      </c>
      <c r="C16" s="63">
        <f t="shared" si="0"/>
        <v>611.85832649088331</v>
      </c>
      <c r="D16" s="25"/>
    </row>
    <row r="17" spans="1:4" x14ac:dyDescent="0.25">
      <c r="A17" s="62">
        <v>45707</v>
      </c>
      <c r="B17" s="25">
        <v>454.85</v>
      </c>
      <c r="C17" s="63">
        <f t="shared" si="0"/>
        <v>613.02343483633763</v>
      </c>
      <c r="D17" s="25"/>
    </row>
    <row r="18" spans="1:4" x14ac:dyDescent="0.25">
      <c r="A18" s="62">
        <v>45706</v>
      </c>
      <c r="B18" s="25">
        <v>440.4</v>
      </c>
      <c r="C18" s="63">
        <f t="shared" si="0"/>
        <v>614.30939772118586</v>
      </c>
      <c r="D18" s="25"/>
    </row>
    <row r="19" spans="1:4" x14ac:dyDescent="0.25">
      <c r="A19" s="62">
        <v>45705</v>
      </c>
      <c r="B19" s="25">
        <v>431.5</v>
      </c>
      <c r="C19" s="63">
        <f t="shared" si="0"/>
        <v>615.72329526363455</v>
      </c>
      <c r="D19" s="25"/>
    </row>
    <row r="20" spans="1:4" x14ac:dyDescent="0.25">
      <c r="A20" s="62">
        <v>45702</v>
      </c>
      <c r="B20" s="25">
        <v>437.1</v>
      </c>
      <c r="C20" s="63">
        <f t="shared" si="0"/>
        <v>617.22104563163157</v>
      </c>
      <c r="D20" s="25"/>
    </row>
    <row r="21" spans="1:4" x14ac:dyDescent="0.25">
      <c r="A21" s="62">
        <v>45701</v>
      </c>
      <c r="B21" s="25">
        <v>467.65</v>
      </c>
      <c r="C21" s="63">
        <f t="shared" si="0"/>
        <v>618.68544437660421</v>
      </c>
      <c r="D21" s="25"/>
    </row>
    <row r="22" spans="1:4" x14ac:dyDescent="0.25">
      <c r="A22" s="62">
        <v>45700</v>
      </c>
      <c r="B22" s="25">
        <v>467.6</v>
      </c>
      <c r="C22" s="63">
        <f t="shared" si="0"/>
        <v>619.91337481869039</v>
      </c>
      <c r="D22" s="25"/>
    </row>
    <row r="23" spans="1:4" x14ac:dyDescent="0.25">
      <c r="A23" s="62">
        <v>45699</v>
      </c>
      <c r="B23" s="25">
        <v>466.9</v>
      </c>
      <c r="C23" s="63">
        <f t="shared" si="0"/>
        <v>621.15169493916756</v>
      </c>
      <c r="D23" s="25"/>
    </row>
    <row r="24" spans="1:4" x14ac:dyDescent="0.25">
      <c r="A24" s="62">
        <v>45698</v>
      </c>
      <c r="B24" s="25">
        <v>476.9</v>
      </c>
      <c r="C24" s="63">
        <f t="shared" si="0"/>
        <v>622.40577375981115</v>
      </c>
      <c r="D24" s="25"/>
    </row>
    <row r="25" spans="1:4" x14ac:dyDescent="0.25">
      <c r="A25" s="62">
        <v>45695</v>
      </c>
      <c r="B25" s="25">
        <v>484.65</v>
      </c>
      <c r="C25" s="63">
        <f t="shared" si="0"/>
        <v>623.5887475302161</v>
      </c>
      <c r="D25" s="25"/>
    </row>
    <row r="26" spans="1:4" x14ac:dyDescent="0.25">
      <c r="A26" s="62">
        <v>45694</v>
      </c>
      <c r="B26" s="25">
        <v>494.2</v>
      </c>
      <c r="C26" s="63">
        <f t="shared" si="0"/>
        <v>624.71833084346986</v>
      </c>
      <c r="D26" s="25"/>
    </row>
    <row r="27" spans="1:4" x14ac:dyDescent="0.25">
      <c r="A27" s="62">
        <v>45693</v>
      </c>
      <c r="B27" s="25">
        <v>493.8</v>
      </c>
      <c r="C27" s="63">
        <f t="shared" si="0"/>
        <v>625.77945548447371</v>
      </c>
      <c r="D27" s="25"/>
    </row>
    <row r="28" spans="1:4" x14ac:dyDescent="0.25">
      <c r="A28" s="62">
        <v>45692</v>
      </c>
      <c r="B28" s="25">
        <v>469.7</v>
      </c>
      <c r="C28" s="63">
        <f t="shared" si="0"/>
        <v>626.85245918759949</v>
      </c>
      <c r="D28" s="25"/>
    </row>
    <row r="29" spans="1:4" x14ac:dyDescent="0.25">
      <c r="A29" s="62">
        <v>45691</v>
      </c>
      <c r="B29" s="25">
        <v>445.65</v>
      </c>
      <c r="C29" s="63">
        <f t="shared" si="0"/>
        <v>628.13012145741743</v>
      </c>
      <c r="D29" s="25"/>
    </row>
    <row r="30" spans="1:4" x14ac:dyDescent="0.25">
      <c r="A30" s="62">
        <v>45689</v>
      </c>
      <c r="B30" s="25">
        <v>472</v>
      </c>
      <c r="C30" s="63">
        <f t="shared" si="0"/>
        <v>629.61369968064844</v>
      </c>
      <c r="D30" s="25"/>
    </row>
    <row r="31" spans="1:4" x14ac:dyDescent="0.25">
      <c r="A31" s="62">
        <v>45688</v>
      </c>
      <c r="B31" s="25">
        <v>508.6</v>
      </c>
      <c r="C31" s="63">
        <f t="shared" si="0"/>
        <v>630.89511187317407</v>
      </c>
      <c r="D31" s="25"/>
    </row>
    <row r="32" spans="1:4" x14ac:dyDescent="0.25">
      <c r="A32" s="62">
        <v>45687</v>
      </c>
      <c r="B32" s="25">
        <v>483.85</v>
      </c>
      <c r="C32" s="63">
        <f t="shared" si="0"/>
        <v>631.88938107539502</v>
      </c>
      <c r="D32" s="25"/>
    </row>
    <row r="33" spans="1:4" x14ac:dyDescent="0.25">
      <c r="A33" s="62">
        <v>45686</v>
      </c>
      <c r="B33" s="25">
        <v>474.75</v>
      </c>
      <c r="C33" s="63">
        <f t="shared" si="0"/>
        <v>633.09295327925997</v>
      </c>
      <c r="D33" s="25"/>
    </row>
    <row r="34" spans="1:4" x14ac:dyDescent="0.25">
      <c r="A34" s="62">
        <v>45685</v>
      </c>
      <c r="B34" s="25">
        <v>504</v>
      </c>
      <c r="C34" s="63">
        <f t="shared" si="0"/>
        <v>634.38029436283114</v>
      </c>
      <c r="D34" s="25"/>
    </row>
    <row r="35" spans="1:4" x14ac:dyDescent="0.25">
      <c r="A35" s="62">
        <v>45684</v>
      </c>
      <c r="B35" s="25">
        <v>534.35</v>
      </c>
      <c r="C35" s="63">
        <f t="shared" si="0"/>
        <v>635.44029675602485</v>
      </c>
      <c r="D35" s="25"/>
    </row>
    <row r="36" spans="1:4" x14ac:dyDescent="0.25">
      <c r="A36" s="62">
        <v>45681</v>
      </c>
      <c r="B36" s="25">
        <v>544.15</v>
      </c>
      <c r="C36" s="63">
        <f t="shared" si="0"/>
        <v>636.26216908737467</v>
      </c>
      <c r="D36" s="25"/>
    </row>
    <row r="37" spans="1:4" x14ac:dyDescent="0.25">
      <c r="A37" s="62">
        <v>45680</v>
      </c>
      <c r="B37" s="25">
        <v>552.1</v>
      </c>
      <c r="C37" s="63">
        <f t="shared" si="0"/>
        <v>637.01104851084926</v>
      </c>
      <c r="D37" s="25"/>
    </row>
    <row r="38" spans="1:4" x14ac:dyDescent="0.25">
      <c r="A38" s="62">
        <v>45679</v>
      </c>
      <c r="B38" s="25">
        <v>550</v>
      </c>
      <c r="C38" s="63">
        <f t="shared" si="0"/>
        <v>637.70138223857975</v>
      </c>
      <c r="D38" s="25"/>
    </row>
    <row r="39" spans="1:4" x14ac:dyDescent="0.25">
      <c r="A39" s="62">
        <v>45678</v>
      </c>
      <c r="B39" s="25">
        <v>557.54999999999995</v>
      </c>
      <c r="C39" s="63">
        <f t="shared" si="0"/>
        <v>638.41440160637308</v>
      </c>
      <c r="D39" s="25"/>
    </row>
    <row r="40" spans="1:4" x14ac:dyDescent="0.25">
      <c r="A40" s="62">
        <v>45677</v>
      </c>
      <c r="B40" s="25">
        <v>579.25</v>
      </c>
      <c r="C40" s="63">
        <f t="shared" si="0"/>
        <v>639.07183576577449</v>
      </c>
      <c r="D40" s="25"/>
    </row>
    <row r="41" spans="1:4" x14ac:dyDescent="0.25">
      <c r="A41" s="62">
        <v>45674</v>
      </c>
      <c r="B41" s="25">
        <v>568</v>
      </c>
      <c r="C41" s="63">
        <f t="shared" si="0"/>
        <v>639.55819215411407</v>
      </c>
      <c r="D41" s="25"/>
    </row>
    <row r="42" spans="1:4" x14ac:dyDescent="0.25">
      <c r="A42" s="62">
        <v>45673</v>
      </c>
      <c r="B42" s="25">
        <v>570.45000000000005</v>
      </c>
      <c r="C42" s="63">
        <f t="shared" si="0"/>
        <v>640.13996607406625</v>
      </c>
      <c r="D42" s="25"/>
    </row>
    <row r="43" spans="1:4" x14ac:dyDescent="0.25">
      <c r="A43" s="62">
        <v>45672</v>
      </c>
      <c r="B43" s="25">
        <v>561.5</v>
      </c>
      <c r="C43" s="63">
        <f t="shared" si="0"/>
        <v>640.70655116409932</v>
      </c>
      <c r="D43" s="25"/>
    </row>
    <row r="44" spans="1:4" x14ac:dyDescent="0.25">
      <c r="A44" s="62">
        <v>45671</v>
      </c>
      <c r="B44" s="25">
        <v>547.85</v>
      </c>
      <c r="C44" s="63">
        <f t="shared" si="0"/>
        <v>641.35050686462046</v>
      </c>
      <c r="D44" s="25"/>
    </row>
    <row r="45" spans="1:4" x14ac:dyDescent="0.25">
      <c r="A45" s="62">
        <v>45670</v>
      </c>
      <c r="B45" s="25">
        <v>517.75</v>
      </c>
      <c r="C45" s="63">
        <f t="shared" si="0"/>
        <v>642.11067358709704</v>
      </c>
      <c r="D45" s="25"/>
    </row>
    <row r="46" spans="1:4" x14ac:dyDescent="0.25">
      <c r="A46" s="62">
        <v>45667</v>
      </c>
      <c r="B46" s="25">
        <v>539.6</v>
      </c>
      <c r="C46" s="63">
        <f t="shared" si="0"/>
        <v>643.12173597398396</v>
      </c>
      <c r="D46" s="25"/>
    </row>
    <row r="47" spans="1:4" x14ac:dyDescent="0.25">
      <c r="A47" s="62">
        <v>45666</v>
      </c>
      <c r="B47" s="25">
        <v>557.65</v>
      </c>
      <c r="C47" s="63">
        <f t="shared" si="0"/>
        <v>643.96337610385376</v>
      </c>
      <c r="D47" s="25"/>
    </row>
    <row r="48" spans="1:4" x14ac:dyDescent="0.25">
      <c r="A48" s="62">
        <v>45665</v>
      </c>
      <c r="B48" s="25">
        <v>579.35</v>
      </c>
      <c r="C48" s="63">
        <f t="shared" si="0"/>
        <v>644.66511086892569</v>
      </c>
      <c r="D48" s="25"/>
    </row>
    <row r="49" spans="1:4" x14ac:dyDescent="0.25">
      <c r="A49" s="62">
        <v>45664</v>
      </c>
      <c r="B49" s="25">
        <v>595.65</v>
      </c>
      <c r="C49" s="63">
        <f t="shared" si="0"/>
        <v>645.19612803046164</v>
      </c>
      <c r="D49" s="25"/>
    </row>
    <row r="50" spans="1:4" x14ac:dyDescent="0.25">
      <c r="A50" s="62">
        <v>45663</v>
      </c>
      <c r="B50" s="25">
        <v>601.54999999999995</v>
      </c>
      <c r="C50" s="63">
        <f t="shared" si="0"/>
        <v>645.5989420794898</v>
      </c>
      <c r="D50" s="25"/>
    </row>
    <row r="51" spans="1:4" x14ac:dyDescent="0.25">
      <c r="A51" s="62">
        <v>45660</v>
      </c>
      <c r="B51" s="25">
        <v>634.4</v>
      </c>
      <c r="C51" s="63">
        <f t="shared" si="0"/>
        <v>645.95706355981088</v>
      </c>
      <c r="D51" s="25"/>
    </row>
    <row r="52" spans="1:4" x14ac:dyDescent="0.25">
      <c r="A52" s="62">
        <v>45659</v>
      </c>
      <c r="B52" s="25">
        <v>641</v>
      </c>
      <c r="C52" s="63">
        <f t="shared" si="0"/>
        <v>646.05102342615078</v>
      </c>
      <c r="D52" s="25"/>
    </row>
    <row r="53" spans="1:4" x14ac:dyDescent="0.25">
      <c r="A53" s="62">
        <v>45658</v>
      </c>
      <c r="B53" s="25">
        <v>644.29999999999995</v>
      </c>
      <c r="C53" s="63">
        <f t="shared" si="0"/>
        <v>646.0920886572577</v>
      </c>
      <c r="D53" s="25"/>
    </row>
    <row r="54" spans="1:4" x14ac:dyDescent="0.25">
      <c r="A54" s="62">
        <v>45657</v>
      </c>
      <c r="B54" s="25">
        <v>642.65</v>
      </c>
      <c r="C54" s="63">
        <f t="shared" si="0"/>
        <v>646.10665848373947</v>
      </c>
      <c r="D54" s="25"/>
    </row>
    <row r="55" spans="1:4" x14ac:dyDescent="0.25">
      <c r="A55" s="62">
        <v>45656</v>
      </c>
      <c r="B55" s="25">
        <v>643.5</v>
      </c>
      <c r="C55" s="63">
        <f t="shared" si="0"/>
        <v>646.13476139824138</v>
      </c>
      <c r="D55" s="25"/>
    </row>
    <row r="56" spans="1:4" x14ac:dyDescent="0.25">
      <c r="A56" s="62">
        <v>45653</v>
      </c>
      <c r="B56" s="25">
        <v>625.79999999999995</v>
      </c>
      <c r="C56" s="63">
        <f t="shared" si="0"/>
        <v>646.1561822226173</v>
      </c>
      <c r="D56" s="25"/>
    </row>
    <row r="57" spans="1:4" x14ac:dyDescent="0.25">
      <c r="A57" s="62">
        <v>45652</v>
      </c>
      <c r="B57" s="25">
        <v>636.5</v>
      </c>
      <c r="C57" s="63">
        <f t="shared" si="0"/>
        <v>646.32167963906136</v>
      </c>
      <c r="D57" s="25"/>
    </row>
    <row r="58" spans="1:4" x14ac:dyDescent="0.25">
      <c r="A58" s="62">
        <v>45650</v>
      </c>
      <c r="B58" s="25">
        <v>648.04999999999995</v>
      </c>
      <c r="C58" s="63">
        <f t="shared" si="0"/>
        <v>646.40153069303744</v>
      </c>
      <c r="D58" s="25"/>
    </row>
    <row r="59" spans="1:4" x14ac:dyDescent="0.25">
      <c r="A59" s="62">
        <v>45649</v>
      </c>
      <c r="B59" s="25">
        <v>659.7</v>
      </c>
      <c r="C59" s="63">
        <f t="shared" si="0"/>
        <v>646.38812850354998</v>
      </c>
      <c r="D59" s="25"/>
    </row>
    <row r="60" spans="1:4" x14ac:dyDescent="0.25">
      <c r="A60" s="62">
        <v>45646</v>
      </c>
      <c r="B60" s="25">
        <v>669.8</v>
      </c>
      <c r="C60" s="63">
        <f t="shared" si="0"/>
        <v>646.27990190601781</v>
      </c>
      <c r="D60" s="25"/>
    </row>
    <row r="61" spans="1:4" x14ac:dyDescent="0.25">
      <c r="A61" s="62">
        <v>45645</v>
      </c>
      <c r="B61" s="25">
        <v>685</v>
      </c>
      <c r="C61" s="63">
        <f t="shared" si="0"/>
        <v>646.08868159631061</v>
      </c>
      <c r="D61" s="25"/>
    </row>
    <row r="62" spans="1:4" x14ac:dyDescent="0.25">
      <c r="A62" s="62">
        <v>45644</v>
      </c>
      <c r="B62" s="25">
        <v>682.05</v>
      </c>
      <c r="C62" s="63">
        <f t="shared" si="0"/>
        <v>645.77232941416685</v>
      </c>
      <c r="D62" s="25"/>
    </row>
    <row r="63" spans="1:4" x14ac:dyDescent="0.25">
      <c r="A63" s="62">
        <v>45643</v>
      </c>
      <c r="B63" s="25">
        <v>685.15</v>
      </c>
      <c r="C63" s="63">
        <f t="shared" si="0"/>
        <v>645.47738900289994</v>
      </c>
      <c r="D63" s="25"/>
    </row>
    <row r="64" spans="1:4" x14ac:dyDescent="0.25">
      <c r="A64" s="62">
        <v>45642</v>
      </c>
      <c r="B64" s="25">
        <v>688.95</v>
      </c>
      <c r="C64" s="63">
        <f t="shared" si="0"/>
        <v>645.15484745007802</v>
      </c>
      <c r="D64" s="25"/>
    </row>
    <row r="65" spans="1:4" x14ac:dyDescent="0.25">
      <c r="A65" s="62">
        <v>45639</v>
      </c>
      <c r="B65" s="25">
        <v>678.6</v>
      </c>
      <c r="C65" s="63">
        <f t="shared" si="0"/>
        <v>644.79878929926565</v>
      </c>
      <c r="D65" s="25"/>
    </row>
    <row r="66" spans="1:4" x14ac:dyDescent="0.25">
      <c r="A66" s="62">
        <v>45638</v>
      </c>
      <c r="B66" s="25">
        <v>685.25</v>
      </c>
      <c r="C66" s="63">
        <f t="shared" ref="C66:C129" si="1">((B66-C67)*$O$5)+C67</f>
        <v>644.52398270820277</v>
      </c>
      <c r="D66" s="25"/>
    </row>
    <row r="67" spans="1:4" x14ac:dyDescent="0.25">
      <c r="A67" s="62">
        <v>45637</v>
      </c>
      <c r="B67" s="25">
        <v>677.6</v>
      </c>
      <c r="C67" s="63">
        <f t="shared" si="1"/>
        <v>644.19287687656208</v>
      </c>
      <c r="D67" s="25"/>
    </row>
    <row r="68" spans="1:4" x14ac:dyDescent="0.25">
      <c r="A68" s="62">
        <v>45636</v>
      </c>
      <c r="B68" s="25">
        <v>668</v>
      </c>
      <c r="C68" s="63">
        <f t="shared" si="1"/>
        <v>643.92127424954231</v>
      </c>
      <c r="D68" s="25"/>
    </row>
    <row r="69" spans="1:4" x14ac:dyDescent="0.25">
      <c r="A69" s="62">
        <v>45635</v>
      </c>
      <c r="B69" s="25">
        <v>675.2</v>
      </c>
      <c r="C69" s="63">
        <f t="shared" si="1"/>
        <v>643.7255122515711</v>
      </c>
      <c r="D69" s="25"/>
    </row>
    <row r="70" spans="1:4" x14ac:dyDescent="0.25">
      <c r="A70" s="62">
        <v>45632</v>
      </c>
      <c r="B70" s="25">
        <v>674.35</v>
      </c>
      <c r="C70" s="63">
        <f t="shared" si="1"/>
        <v>643.46962210727497</v>
      </c>
      <c r="D70" s="25"/>
    </row>
    <row r="71" spans="1:4" x14ac:dyDescent="0.25">
      <c r="A71" s="62">
        <v>45631</v>
      </c>
      <c r="B71" s="25">
        <v>664.15</v>
      </c>
      <c r="C71" s="63">
        <f t="shared" si="1"/>
        <v>643.2185621244073</v>
      </c>
      <c r="D71" s="25"/>
    </row>
    <row r="72" spans="1:4" x14ac:dyDescent="0.25">
      <c r="A72" s="62">
        <v>45630</v>
      </c>
      <c r="B72" s="25">
        <v>648.4</v>
      </c>
      <c r="C72" s="63">
        <f t="shared" si="1"/>
        <v>643.04838783273578</v>
      </c>
      <c r="D72" s="25"/>
    </row>
    <row r="73" spans="1:4" x14ac:dyDescent="0.25">
      <c r="A73" s="62">
        <v>45629</v>
      </c>
      <c r="B73" s="25">
        <v>642.95000000000005</v>
      </c>
      <c r="C73" s="63">
        <f t="shared" si="1"/>
        <v>643.00487879072546</v>
      </c>
      <c r="D73" s="25"/>
    </row>
    <row r="74" spans="1:4" x14ac:dyDescent="0.25">
      <c r="A74" s="62">
        <v>45628</v>
      </c>
      <c r="B74" s="25">
        <v>645.65</v>
      </c>
      <c r="C74" s="63">
        <f t="shared" si="1"/>
        <v>643.00532495975574</v>
      </c>
      <c r="D74" s="25"/>
    </row>
    <row r="75" spans="1:4" x14ac:dyDescent="0.25">
      <c r="A75" s="62">
        <v>45625</v>
      </c>
      <c r="B75" s="25">
        <v>654.65</v>
      </c>
      <c r="C75" s="63">
        <f t="shared" si="1"/>
        <v>642.98382353666432</v>
      </c>
      <c r="D75" s="25"/>
    </row>
    <row r="76" spans="1:4" x14ac:dyDescent="0.25">
      <c r="A76" s="62">
        <v>45624</v>
      </c>
      <c r="B76" s="25">
        <v>662.8</v>
      </c>
      <c r="C76" s="63">
        <f t="shared" si="1"/>
        <v>642.88897657354778</v>
      </c>
      <c r="D76" s="25"/>
    </row>
    <row r="77" spans="1:4" x14ac:dyDescent="0.25">
      <c r="A77" s="62">
        <v>45623</v>
      </c>
      <c r="B77" s="25">
        <v>673.3</v>
      </c>
      <c r="C77" s="63">
        <f t="shared" si="1"/>
        <v>642.72709833430838</v>
      </c>
      <c r="D77" s="25"/>
    </row>
    <row r="78" spans="1:4" x14ac:dyDescent="0.25">
      <c r="A78" s="62">
        <v>45622</v>
      </c>
      <c r="B78" s="25">
        <v>657.4</v>
      </c>
      <c r="C78" s="63">
        <f t="shared" si="1"/>
        <v>642.4785381581645</v>
      </c>
      <c r="D78" s="25"/>
    </row>
    <row r="79" spans="1:4" x14ac:dyDescent="0.25">
      <c r="A79" s="62">
        <v>45621</v>
      </c>
      <c r="B79" s="25">
        <v>675.05</v>
      </c>
      <c r="C79" s="63">
        <f t="shared" si="1"/>
        <v>642.35722546026341</v>
      </c>
      <c r="D79" s="25"/>
    </row>
    <row r="80" spans="1:4" x14ac:dyDescent="0.25">
      <c r="A80" s="62">
        <v>45618</v>
      </c>
      <c r="B80" s="25">
        <v>688.9</v>
      </c>
      <c r="C80" s="63">
        <f t="shared" si="1"/>
        <v>642.09143054530625</v>
      </c>
      <c r="D80" s="25"/>
    </row>
    <row r="81" spans="1:4" x14ac:dyDescent="0.25">
      <c r="A81" s="62">
        <v>45617</v>
      </c>
      <c r="B81" s="25">
        <v>699.15</v>
      </c>
      <c r="C81" s="63">
        <f t="shared" si="1"/>
        <v>641.71087307006485</v>
      </c>
      <c r="D81" s="25"/>
    </row>
    <row r="82" spans="1:4" x14ac:dyDescent="0.25">
      <c r="A82" s="62">
        <v>45615</v>
      </c>
      <c r="B82" s="25">
        <v>709.9</v>
      </c>
      <c r="C82" s="63">
        <f t="shared" si="1"/>
        <v>641.24388829827672</v>
      </c>
      <c r="D82" s="25"/>
    </row>
    <row r="83" spans="1:4" x14ac:dyDescent="0.25">
      <c r="A83" s="62">
        <v>45614</v>
      </c>
      <c r="B83" s="25">
        <v>712.8</v>
      </c>
      <c r="C83" s="63">
        <f t="shared" si="1"/>
        <v>640.68570852834398</v>
      </c>
      <c r="D83" s="25"/>
    </row>
    <row r="84" spans="1:4" x14ac:dyDescent="0.25">
      <c r="A84" s="62">
        <v>45610</v>
      </c>
      <c r="B84" s="25">
        <v>732</v>
      </c>
      <c r="C84" s="63">
        <f t="shared" si="1"/>
        <v>640.09941347572885</v>
      </c>
      <c r="D84" s="25"/>
    </row>
    <row r="85" spans="1:4" x14ac:dyDescent="0.25">
      <c r="A85" s="62">
        <v>45609</v>
      </c>
      <c r="B85" s="25">
        <v>728.95</v>
      </c>
      <c r="C85" s="63">
        <f t="shared" si="1"/>
        <v>639.35225423569409</v>
      </c>
      <c r="D85" s="25"/>
    </row>
    <row r="86" spans="1:4" x14ac:dyDescent="0.25">
      <c r="A86" s="62">
        <v>45608</v>
      </c>
      <c r="B86" s="25">
        <v>750.05</v>
      </c>
      <c r="C86" s="63">
        <f t="shared" si="1"/>
        <v>638.62381727826073</v>
      </c>
      <c r="D86" s="25"/>
    </row>
    <row r="87" spans="1:4" x14ac:dyDescent="0.25">
      <c r="A87" s="62">
        <v>45607</v>
      </c>
      <c r="B87" s="25">
        <v>739.25</v>
      </c>
      <c r="C87" s="63">
        <f t="shared" si="1"/>
        <v>637.7179133536938</v>
      </c>
      <c r="D87" s="25"/>
    </row>
    <row r="88" spans="1:4" x14ac:dyDescent="0.25">
      <c r="A88" s="62">
        <v>45604</v>
      </c>
      <c r="B88" s="25">
        <v>712.05</v>
      </c>
      <c r="C88" s="63">
        <f t="shared" si="1"/>
        <v>636.8924492346182</v>
      </c>
      <c r="D88" s="25"/>
    </row>
    <row r="89" spans="1:4" x14ac:dyDescent="0.25">
      <c r="A89" s="62">
        <v>45603</v>
      </c>
      <c r="B89" s="25">
        <v>714.8</v>
      </c>
      <c r="C89" s="63">
        <f t="shared" si="1"/>
        <v>636.28141223652563</v>
      </c>
      <c r="D89" s="25"/>
    </row>
    <row r="90" spans="1:4" x14ac:dyDescent="0.25">
      <c r="A90" s="62">
        <v>45602</v>
      </c>
      <c r="B90" s="25">
        <v>682.6</v>
      </c>
      <c r="C90" s="63">
        <f t="shared" si="1"/>
        <v>635.64304973438357</v>
      </c>
      <c r="D90" s="25"/>
    </row>
    <row r="91" spans="1:4" x14ac:dyDescent="0.25">
      <c r="A91" s="62">
        <v>45601</v>
      </c>
      <c r="B91" s="25">
        <v>654.79999999999995</v>
      </c>
      <c r="C91" s="63">
        <f t="shared" si="1"/>
        <v>635.26128591108591</v>
      </c>
      <c r="D91" s="25"/>
    </row>
    <row r="92" spans="1:4" x14ac:dyDescent="0.25">
      <c r="A92" s="62">
        <v>45600</v>
      </c>
      <c r="B92" s="25">
        <v>663.15</v>
      </c>
      <c r="C92" s="63">
        <f t="shared" si="1"/>
        <v>635.10243457702973</v>
      </c>
      <c r="D92" s="25"/>
    </row>
    <row r="93" spans="1:4" x14ac:dyDescent="0.25">
      <c r="A93" s="62">
        <v>45597</v>
      </c>
      <c r="B93" s="25">
        <v>682.65</v>
      </c>
      <c r="C93" s="63">
        <f t="shared" si="1"/>
        <v>634.87440558985111</v>
      </c>
      <c r="D93" s="25"/>
    </row>
    <row r="94" spans="1:4" x14ac:dyDescent="0.25">
      <c r="A94" s="62">
        <v>45596</v>
      </c>
      <c r="B94" s="25">
        <v>679.15</v>
      </c>
      <c r="C94" s="63">
        <f t="shared" si="1"/>
        <v>634.48598612310195</v>
      </c>
      <c r="D94" s="25"/>
    </row>
    <row r="95" spans="1:4" x14ac:dyDescent="0.25">
      <c r="A95" s="62">
        <v>45595</v>
      </c>
      <c r="B95" s="25">
        <v>674.35</v>
      </c>
      <c r="C95" s="63">
        <f t="shared" si="1"/>
        <v>634.12286405906218</v>
      </c>
      <c r="D95" s="25"/>
    </row>
    <row r="96" spans="1:4" x14ac:dyDescent="0.25">
      <c r="A96" s="62">
        <v>45594</v>
      </c>
      <c r="B96" s="25">
        <v>683.3</v>
      </c>
      <c r="C96" s="63">
        <f t="shared" si="1"/>
        <v>633.79581417336351</v>
      </c>
      <c r="D96" s="25"/>
    </row>
    <row r="97" spans="1:4" x14ac:dyDescent="0.25">
      <c r="A97" s="62">
        <v>45593</v>
      </c>
      <c r="B97" s="25">
        <v>642.9</v>
      </c>
      <c r="C97" s="63">
        <f t="shared" si="1"/>
        <v>633.39334111786241</v>
      </c>
      <c r="D97" s="25"/>
    </row>
    <row r="98" spans="1:4" x14ac:dyDescent="0.25">
      <c r="A98" s="62">
        <v>45590</v>
      </c>
      <c r="B98" s="25">
        <v>668.9</v>
      </c>
      <c r="C98" s="63">
        <f t="shared" si="1"/>
        <v>633.31605120825157</v>
      </c>
      <c r="D98" s="25"/>
    </row>
    <row r="99" spans="1:4" x14ac:dyDescent="0.25">
      <c r="A99" s="62">
        <v>45589</v>
      </c>
      <c r="B99" s="25">
        <v>671</v>
      </c>
      <c r="C99" s="63">
        <f t="shared" si="1"/>
        <v>633.02675081157065</v>
      </c>
      <c r="D99" s="25"/>
    </row>
    <row r="100" spans="1:4" x14ac:dyDescent="0.25">
      <c r="A100" s="62">
        <v>45588</v>
      </c>
      <c r="B100" s="25">
        <v>687.75</v>
      </c>
      <c r="C100" s="63">
        <f t="shared" si="1"/>
        <v>632.71802520841266</v>
      </c>
      <c r="D100" s="25"/>
    </row>
    <row r="101" spans="1:4" x14ac:dyDescent="0.25">
      <c r="A101" s="62">
        <v>45587</v>
      </c>
      <c r="B101" s="25">
        <v>670.25</v>
      </c>
      <c r="C101" s="63">
        <f t="shared" si="1"/>
        <v>632.2706107792128</v>
      </c>
      <c r="D101" s="25"/>
    </row>
    <row r="102" spans="1:4" x14ac:dyDescent="0.25">
      <c r="A102" s="62">
        <v>45586</v>
      </c>
      <c r="B102" s="25">
        <v>684.55</v>
      </c>
      <c r="C102" s="63">
        <f t="shared" si="1"/>
        <v>631.96183525709262</v>
      </c>
      <c r="D102" s="25"/>
    </row>
    <row r="103" spans="1:4" x14ac:dyDescent="0.25">
      <c r="A103" s="62">
        <v>45583</v>
      </c>
      <c r="B103" s="25">
        <v>676.85</v>
      </c>
      <c r="C103" s="63">
        <f t="shared" si="1"/>
        <v>631.53428920227225</v>
      </c>
      <c r="D103" s="25"/>
    </row>
    <row r="104" spans="1:4" x14ac:dyDescent="0.25">
      <c r="A104" s="62">
        <v>45582</v>
      </c>
      <c r="B104" s="25">
        <v>676.55</v>
      </c>
      <c r="C104" s="63">
        <f t="shared" si="1"/>
        <v>631.16586878928263</v>
      </c>
      <c r="D104" s="25"/>
    </row>
    <row r="105" spans="1:4" x14ac:dyDescent="0.25">
      <c r="A105" s="62">
        <v>45581</v>
      </c>
      <c r="B105" s="25">
        <v>689.3</v>
      </c>
      <c r="C105" s="63">
        <f t="shared" si="1"/>
        <v>630.79689211277275</v>
      </c>
      <c r="D105" s="25"/>
    </row>
    <row r="106" spans="1:4" x14ac:dyDescent="0.25">
      <c r="A106" s="62">
        <v>45580</v>
      </c>
      <c r="B106" s="25">
        <v>692.15</v>
      </c>
      <c r="C106" s="63">
        <f t="shared" si="1"/>
        <v>630.32125708929937</v>
      </c>
      <c r="D106" s="25"/>
    </row>
    <row r="107" spans="1:4" x14ac:dyDescent="0.25">
      <c r="A107" s="62">
        <v>45579</v>
      </c>
      <c r="B107" s="25">
        <v>703.2</v>
      </c>
      <c r="C107" s="63">
        <f t="shared" si="1"/>
        <v>629.81858438270831</v>
      </c>
      <c r="D107" s="25"/>
    </row>
    <row r="108" spans="1:4" x14ac:dyDescent="0.25">
      <c r="A108" s="62">
        <v>45576</v>
      </c>
      <c r="B108" s="25">
        <v>706.7</v>
      </c>
      <c r="C108" s="63">
        <f t="shared" si="1"/>
        <v>629.22198750777102</v>
      </c>
      <c r="D108" s="25"/>
    </row>
    <row r="109" spans="1:4" x14ac:dyDescent="0.25">
      <c r="A109" s="62">
        <v>45575</v>
      </c>
      <c r="B109" s="25">
        <v>728.85</v>
      </c>
      <c r="C109" s="63">
        <f t="shared" si="1"/>
        <v>628.59208496718384</v>
      </c>
      <c r="D109" s="25"/>
    </row>
    <row r="110" spans="1:4" x14ac:dyDescent="0.25">
      <c r="A110" s="62">
        <v>45574</v>
      </c>
      <c r="B110" s="25">
        <v>730.1</v>
      </c>
      <c r="C110" s="63">
        <f t="shared" si="1"/>
        <v>627.776979966917</v>
      </c>
      <c r="D110" s="25"/>
    </row>
    <row r="111" spans="1:4" x14ac:dyDescent="0.25">
      <c r="A111" s="62">
        <v>45573</v>
      </c>
      <c r="B111" s="25">
        <v>722.55</v>
      </c>
      <c r="C111" s="63">
        <f t="shared" si="1"/>
        <v>626.94508549510329</v>
      </c>
      <c r="D111" s="25"/>
    </row>
    <row r="112" spans="1:4" x14ac:dyDescent="0.25">
      <c r="A112" s="62">
        <v>45572</v>
      </c>
      <c r="B112" s="25">
        <v>674.2</v>
      </c>
      <c r="C112" s="63">
        <f t="shared" si="1"/>
        <v>626.1678097674212</v>
      </c>
      <c r="D112" s="25"/>
    </row>
    <row r="113" spans="1:4" x14ac:dyDescent="0.25">
      <c r="A113" s="62">
        <v>45569</v>
      </c>
      <c r="B113" s="25">
        <v>699.5</v>
      </c>
      <c r="C113" s="63">
        <f t="shared" si="1"/>
        <v>625.77730415577423</v>
      </c>
      <c r="D113" s="25"/>
    </row>
    <row r="114" spans="1:4" x14ac:dyDescent="0.25">
      <c r="A114" s="62">
        <v>45568</v>
      </c>
      <c r="B114" s="25">
        <v>708.6</v>
      </c>
      <c r="C114" s="63">
        <f t="shared" si="1"/>
        <v>625.17793264484555</v>
      </c>
      <c r="D114" s="25"/>
    </row>
    <row r="115" spans="1:4" x14ac:dyDescent="0.25">
      <c r="A115" s="62">
        <v>45566</v>
      </c>
      <c r="B115" s="25">
        <v>723.45</v>
      </c>
      <c r="C115" s="63">
        <f t="shared" si="1"/>
        <v>624.49970445496626</v>
      </c>
      <c r="D115" s="25"/>
    </row>
    <row r="116" spans="1:4" x14ac:dyDescent="0.25">
      <c r="A116" s="62">
        <v>45565</v>
      </c>
      <c r="B116" s="25">
        <v>733.05</v>
      </c>
      <c r="C116" s="63">
        <f t="shared" si="1"/>
        <v>623.69523050744567</v>
      </c>
      <c r="D116" s="25"/>
    </row>
    <row r="117" spans="1:4" x14ac:dyDescent="0.25">
      <c r="A117" s="62">
        <v>45562</v>
      </c>
      <c r="B117" s="25">
        <v>740.3</v>
      </c>
      <c r="C117" s="63">
        <f t="shared" si="1"/>
        <v>622.80616734083958</v>
      </c>
      <c r="D117" s="25"/>
    </row>
    <row r="118" spans="1:4" x14ac:dyDescent="0.25">
      <c r="A118" s="62">
        <v>45561</v>
      </c>
      <c r="B118" s="25">
        <v>776.4</v>
      </c>
      <c r="C118" s="63">
        <f t="shared" si="1"/>
        <v>621.85093292897648</v>
      </c>
      <c r="D118" s="25"/>
    </row>
    <row r="119" spans="1:4" x14ac:dyDescent="0.25">
      <c r="A119" s="62">
        <v>45560</v>
      </c>
      <c r="B119" s="25">
        <v>783.9</v>
      </c>
      <c r="C119" s="63">
        <f t="shared" si="1"/>
        <v>620.59443644872431</v>
      </c>
      <c r="D119" s="25"/>
    </row>
    <row r="120" spans="1:4" x14ac:dyDescent="0.25">
      <c r="A120" s="62">
        <v>45559</v>
      </c>
      <c r="B120" s="25">
        <v>789.3</v>
      </c>
      <c r="C120" s="63">
        <f t="shared" si="1"/>
        <v>619.26674894017731</v>
      </c>
      <c r="D120" s="25"/>
    </row>
    <row r="121" spans="1:4" x14ac:dyDescent="0.25">
      <c r="A121" s="62">
        <v>45558</v>
      </c>
      <c r="B121" s="25">
        <v>792.05</v>
      </c>
      <c r="C121" s="63">
        <f t="shared" si="1"/>
        <v>617.88436478521942</v>
      </c>
      <c r="D121" s="25"/>
    </row>
    <row r="122" spans="1:4" x14ac:dyDescent="0.25">
      <c r="A122" s="62">
        <v>45555</v>
      </c>
      <c r="B122" s="25">
        <v>782.35</v>
      </c>
      <c r="C122" s="63">
        <f t="shared" si="1"/>
        <v>616.46838401111552</v>
      </c>
      <c r="D122" s="25"/>
    </row>
    <row r="123" spans="1:4" x14ac:dyDescent="0.25">
      <c r="A123" s="62">
        <v>45554</v>
      </c>
      <c r="B123" s="25">
        <v>742.85</v>
      </c>
      <c r="C123" s="63">
        <f t="shared" si="1"/>
        <v>615.11975298681568</v>
      </c>
      <c r="D123" s="25"/>
    </row>
    <row r="124" spans="1:4" x14ac:dyDescent="0.25">
      <c r="A124" s="62">
        <v>45553</v>
      </c>
      <c r="B124" s="25">
        <v>750.75</v>
      </c>
      <c r="C124" s="63">
        <f t="shared" si="1"/>
        <v>614.08129569402558</v>
      </c>
      <c r="D124" s="25"/>
    </row>
    <row r="125" spans="1:4" x14ac:dyDescent="0.25">
      <c r="A125" s="62">
        <v>45552</v>
      </c>
      <c r="B125" s="25">
        <v>748.55</v>
      </c>
      <c r="C125" s="63">
        <f t="shared" si="1"/>
        <v>612.97016801674124</v>
      </c>
      <c r="D125" s="25"/>
    </row>
    <row r="126" spans="1:4" x14ac:dyDescent="0.25">
      <c r="A126" s="62">
        <v>45551</v>
      </c>
      <c r="B126" s="25">
        <v>771.6</v>
      </c>
      <c r="C126" s="63">
        <f t="shared" si="1"/>
        <v>611.86789295996675</v>
      </c>
      <c r="D126" s="25"/>
    </row>
    <row r="127" spans="1:4" x14ac:dyDescent="0.25">
      <c r="A127" s="62">
        <v>45548</v>
      </c>
      <c r="B127" s="25">
        <v>768.25</v>
      </c>
      <c r="C127" s="63">
        <f t="shared" si="1"/>
        <v>610.5692579433811</v>
      </c>
      <c r="D127" s="25"/>
    </row>
    <row r="128" spans="1:4" x14ac:dyDescent="0.25">
      <c r="A128" s="62">
        <v>45547</v>
      </c>
      <c r="B128" s="25">
        <v>760.1</v>
      </c>
      <c r="C128" s="63">
        <f t="shared" si="1"/>
        <v>609.28730069088829</v>
      </c>
      <c r="D128" s="25"/>
    </row>
    <row r="129" spans="1:4" x14ac:dyDescent="0.25">
      <c r="A129" s="62">
        <v>45546</v>
      </c>
      <c r="B129" s="25">
        <v>741.8</v>
      </c>
      <c r="C129" s="63">
        <f t="shared" si="1"/>
        <v>608.06118118431016</v>
      </c>
      <c r="D129" s="25"/>
    </row>
    <row r="130" spans="1:4" x14ac:dyDescent="0.25">
      <c r="A130" s="62">
        <v>45545</v>
      </c>
      <c r="B130" s="25">
        <v>744.2</v>
      </c>
      <c r="C130" s="63">
        <f t="shared" ref="C130:C193" si="2">((B130-C131)*$O$5)+C131</f>
        <v>606.97387371426385</v>
      </c>
      <c r="D130" s="25"/>
    </row>
    <row r="131" spans="1:4" x14ac:dyDescent="0.25">
      <c r="A131" s="62">
        <v>45544</v>
      </c>
      <c r="B131" s="25">
        <v>730.75</v>
      </c>
      <c r="C131" s="63">
        <f t="shared" si="2"/>
        <v>605.85821415096518</v>
      </c>
      <c r="D131" s="25"/>
    </row>
    <row r="132" spans="1:4" x14ac:dyDescent="0.25">
      <c r="A132" s="62">
        <v>45541</v>
      </c>
      <c r="B132" s="25">
        <v>709.55</v>
      </c>
      <c r="C132" s="63">
        <f t="shared" si="2"/>
        <v>604.84283377820884</v>
      </c>
      <c r="D132" s="25"/>
    </row>
    <row r="133" spans="1:4" x14ac:dyDescent="0.25">
      <c r="A133" s="62">
        <v>45540</v>
      </c>
      <c r="B133" s="25">
        <v>714.45</v>
      </c>
      <c r="C133" s="63">
        <f t="shared" si="2"/>
        <v>603.99155600404799</v>
      </c>
      <c r="D133" s="25"/>
    </row>
    <row r="134" spans="1:4" x14ac:dyDescent="0.25">
      <c r="A134" s="62">
        <v>45539</v>
      </c>
      <c r="B134" s="25">
        <v>698.5</v>
      </c>
      <c r="C134" s="63">
        <f t="shared" si="2"/>
        <v>603.09351987399964</v>
      </c>
      <c r="D134" s="25"/>
    </row>
    <row r="135" spans="1:4" x14ac:dyDescent="0.25">
      <c r="A135" s="62">
        <v>45538</v>
      </c>
      <c r="B135" s="25">
        <v>692.7</v>
      </c>
      <c r="C135" s="63">
        <f t="shared" si="2"/>
        <v>602.31785743395085</v>
      </c>
      <c r="D135" s="25"/>
    </row>
    <row r="136" spans="1:4" x14ac:dyDescent="0.25">
      <c r="A136" s="62">
        <v>45537</v>
      </c>
      <c r="B136" s="25">
        <v>705.8</v>
      </c>
      <c r="C136" s="63">
        <f t="shared" si="2"/>
        <v>601.58304326674715</v>
      </c>
      <c r="D136" s="25"/>
    </row>
    <row r="137" spans="1:4" x14ac:dyDescent="0.25">
      <c r="A137" s="62">
        <v>45534</v>
      </c>
      <c r="B137" s="25">
        <v>711.15</v>
      </c>
      <c r="C137" s="63">
        <f t="shared" si="2"/>
        <v>600.73575093558247</v>
      </c>
      <c r="D137" s="25"/>
    </row>
    <row r="138" spans="1:4" x14ac:dyDescent="0.25">
      <c r="A138" s="62">
        <v>45533</v>
      </c>
      <c r="B138" s="25">
        <v>720.05</v>
      </c>
      <c r="C138" s="63">
        <f t="shared" si="2"/>
        <v>599.83807411392058</v>
      </c>
      <c r="D138" s="25"/>
    </row>
    <row r="139" spans="1:4" x14ac:dyDescent="0.25">
      <c r="A139" s="62">
        <v>45532</v>
      </c>
      <c r="B139" s="25">
        <v>736.6</v>
      </c>
      <c r="C139" s="63">
        <f t="shared" si="2"/>
        <v>598.8607413831395</v>
      </c>
      <c r="D139" s="25"/>
    </row>
    <row r="140" spans="1:4" x14ac:dyDescent="0.25">
      <c r="A140" s="62">
        <v>45531</v>
      </c>
      <c r="B140" s="25">
        <v>733.1</v>
      </c>
      <c r="C140" s="63">
        <f t="shared" si="2"/>
        <v>597.74091001227066</v>
      </c>
      <c r="D140" s="25"/>
    </row>
    <row r="141" spans="1:4" x14ac:dyDescent="0.25">
      <c r="A141" s="62">
        <v>45530</v>
      </c>
      <c r="B141" s="25">
        <v>715.55</v>
      </c>
      <c r="C141" s="63">
        <f t="shared" si="2"/>
        <v>596.6404296058663</v>
      </c>
      <c r="D141" s="25"/>
    </row>
    <row r="142" spans="1:4" x14ac:dyDescent="0.25">
      <c r="A142" s="62">
        <v>45527</v>
      </c>
      <c r="B142" s="25">
        <v>703.85</v>
      </c>
      <c r="C142" s="63">
        <f t="shared" si="2"/>
        <v>595.67368513111728</v>
      </c>
      <c r="D142" s="25"/>
    </row>
    <row r="143" spans="1:4" x14ac:dyDescent="0.25">
      <c r="A143" s="62">
        <v>45526</v>
      </c>
      <c r="B143" s="25">
        <v>710.7</v>
      </c>
      <c r="C143" s="63">
        <f t="shared" si="2"/>
        <v>594.79420289641087</v>
      </c>
      <c r="D143" s="25"/>
    </row>
    <row r="144" spans="1:4" x14ac:dyDescent="0.25">
      <c r="A144" s="62">
        <v>45525</v>
      </c>
      <c r="B144" s="25">
        <v>719.9</v>
      </c>
      <c r="C144" s="63">
        <f t="shared" si="2"/>
        <v>593.85187934272312</v>
      </c>
      <c r="D144" s="25"/>
    </row>
    <row r="145" spans="1:4" x14ac:dyDescent="0.25">
      <c r="A145" s="62">
        <v>45524</v>
      </c>
      <c r="B145" s="25">
        <v>709.9</v>
      </c>
      <c r="C145" s="63">
        <f t="shared" si="2"/>
        <v>592.82709787396482</v>
      </c>
      <c r="D145" s="25"/>
    </row>
    <row r="146" spans="1:4" x14ac:dyDescent="0.25">
      <c r="A146" s="62">
        <v>45523</v>
      </c>
      <c r="B146" s="25">
        <v>668.55</v>
      </c>
      <c r="C146" s="63">
        <f t="shared" si="2"/>
        <v>591.875285661558</v>
      </c>
      <c r="D146" s="25"/>
    </row>
    <row r="147" spans="1:4" x14ac:dyDescent="0.25">
      <c r="A147" s="62">
        <v>45520</v>
      </c>
      <c r="B147" s="25">
        <v>665.05</v>
      </c>
      <c r="C147" s="63">
        <f t="shared" si="2"/>
        <v>591.25191400026984</v>
      </c>
      <c r="D147" s="25"/>
    </row>
    <row r="148" spans="1:4" x14ac:dyDescent="0.25">
      <c r="A148" s="62">
        <v>45518</v>
      </c>
      <c r="B148" s="25">
        <v>645.95000000000005</v>
      </c>
      <c r="C148" s="63">
        <f t="shared" si="2"/>
        <v>590.65192956124758</v>
      </c>
      <c r="D148" s="25"/>
    </row>
    <row r="149" spans="1:4" x14ac:dyDescent="0.25">
      <c r="A149" s="62">
        <v>45517</v>
      </c>
      <c r="B149" s="25">
        <v>672.55</v>
      </c>
      <c r="C149" s="63">
        <f t="shared" si="2"/>
        <v>590.20235175280243</v>
      </c>
      <c r="D149" s="25"/>
    </row>
    <row r="150" spans="1:4" x14ac:dyDescent="0.25">
      <c r="A150" s="62">
        <v>45516</v>
      </c>
      <c r="B150" s="25">
        <v>689.1</v>
      </c>
      <c r="C150" s="63">
        <f t="shared" si="2"/>
        <v>589.53285867762202</v>
      </c>
      <c r="D150" s="25"/>
    </row>
    <row r="151" spans="1:4" x14ac:dyDescent="0.25">
      <c r="A151" s="62">
        <v>45513</v>
      </c>
      <c r="B151" s="25">
        <v>703</v>
      </c>
      <c r="C151" s="63">
        <f t="shared" si="2"/>
        <v>588.7233697237815</v>
      </c>
      <c r="D151" s="25"/>
    </row>
    <row r="152" spans="1:4" x14ac:dyDescent="0.25">
      <c r="A152" s="62">
        <v>45512</v>
      </c>
      <c r="B152" s="25">
        <v>699.45</v>
      </c>
      <c r="C152" s="63">
        <f t="shared" si="2"/>
        <v>587.79429142885294</v>
      </c>
      <c r="D152" s="25"/>
    </row>
    <row r="153" spans="1:4" x14ac:dyDescent="0.25">
      <c r="A153" s="62">
        <v>45511</v>
      </c>
      <c r="B153" s="25">
        <v>690</v>
      </c>
      <c r="C153" s="63">
        <f t="shared" si="2"/>
        <v>586.88652144046966</v>
      </c>
      <c r="D153" s="25"/>
    </row>
    <row r="154" spans="1:4" x14ac:dyDescent="0.25">
      <c r="A154" s="62">
        <v>45510</v>
      </c>
      <c r="B154" s="25">
        <v>683.4</v>
      </c>
      <c r="C154" s="63">
        <f t="shared" si="2"/>
        <v>586.04820047657108</v>
      </c>
      <c r="D154" s="25"/>
    </row>
    <row r="155" spans="1:4" x14ac:dyDescent="0.25">
      <c r="A155" s="62">
        <v>45509</v>
      </c>
      <c r="B155" s="25">
        <v>684.45</v>
      </c>
      <c r="C155" s="63">
        <f t="shared" si="2"/>
        <v>585.25672243166514</v>
      </c>
      <c r="D155" s="25"/>
    </row>
    <row r="156" spans="1:4" x14ac:dyDescent="0.25">
      <c r="A156" s="62">
        <v>45506</v>
      </c>
      <c r="B156" s="25">
        <v>722.05</v>
      </c>
      <c r="C156" s="63">
        <f t="shared" si="2"/>
        <v>584.45027302054041</v>
      </c>
      <c r="D156" s="25"/>
    </row>
    <row r="157" spans="1:4" x14ac:dyDescent="0.25">
      <c r="A157" s="62">
        <v>45505</v>
      </c>
      <c r="B157" s="25">
        <v>727.65</v>
      </c>
      <c r="C157" s="63">
        <f t="shared" si="2"/>
        <v>583.33157605322776</v>
      </c>
      <c r="D157" s="25"/>
    </row>
    <row r="158" spans="1:4" x14ac:dyDescent="0.25">
      <c r="A158" s="62">
        <v>45504</v>
      </c>
      <c r="B158" s="25">
        <v>728</v>
      </c>
      <c r="C158" s="63">
        <f t="shared" si="2"/>
        <v>582.15825553333536</v>
      </c>
      <c r="D158" s="25"/>
    </row>
    <row r="159" spans="1:4" x14ac:dyDescent="0.25">
      <c r="A159" s="62">
        <v>45503</v>
      </c>
      <c r="B159" s="25">
        <v>715.25</v>
      </c>
      <c r="C159" s="63">
        <f t="shared" si="2"/>
        <v>580.97255029376902</v>
      </c>
      <c r="D159" s="25"/>
    </row>
    <row r="160" spans="1:4" x14ac:dyDescent="0.25">
      <c r="A160" s="62">
        <v>45502</v>
      </c>
      <c r="B160" s="25">
        <v>692.25</v>
      </c>
      <c r="C160" s="63">
        <f t="shared" si="2"/>
        <v>579.88086371079157</v>
      </c>
      <c r="D160" s="25"/>
    </row>
    <row r="161" spans="1:4" x14ac:dyDescent="0.25">
      <c r="A161" s="62">
        <v>45499</v>
      </c>
      <c r="B161" s="25">
        <v>693.55</v>
      </c>
      <c r="C161" s="63">
        <f t="shared" si="2"/>
        <v>578.96729349705822</v>
      </c>
      <c r="D161" s="25"/>
    </row>
    <row r="162" spans="1:4" x14ac:dyDescent="0.25">
      <c r="A162" s="62">
        <v>45498</v>
      </c>
      <c r="B162" s="25">
        <v>668.15</v>
      </c>
      <c r="C162" s="63">
        <f t="shared" si="2"/>
        <v>578.03572677752209</v>
      </c>
      <c r="D162" s="25"/>
    </row>
    <row r="163" spans="1:4" x14ac:dyDescent="0.25">
      <c r="A163" s="62">
        <v>45497</v>
      </c>
      <c r="B163" s="25">
        <v>682.35</v>
      </c>
      <c r="C163" s="63">
        <f t="shared" si="2"/>
        <v>577.30309040985969</v>
      </c>
      <c r="D163" s="25"/>
    </row>
    <row r="164" spans="1:4" x14ac:dyDescent="0.25">
      <c r="A164" s="62">
        <v>45496</v>
      </c>
      <c r="B164" s="25">
        <v>697.1</v>
      </c>
      <c r="C164" s="63">
        <f t="shared" si="2"/>
        <v>576.44905049449267</v>
      </c>
      <c r="D164" s="25"/>
    </row>
    <row r="165" spans="1:4" x14ac:dyDescent="0.25">
      <c r="A165" s="62">
        <v>45495</v>
      </c>
      <c r="B165" s="25">
        <v>709.8</v>
      </c>
      <c r="C165" s="63">
        <f t="shared" si="2"/>
        <v>575.46814846599261</v>
      </c>
      <c r="D165" s="25"/>
    </row>
    <row r="166" spans="1:4" x14ac:dyDescent="0.25">
      <c r="A166" s="62">
        <v>45492</v>
      </c>
      <c r="B166" s="25">
        <v>705</v>
      </c>
      <c r="C166" s="63">
        <f t="shared" si="2"/>
        <v>574.37601959173242</v>
      </c>
      <c r="D166" s="25"/>
    </row>
    <row r="167" spans="1:4" x14ac:dyDescent="0.25">
      <c r="A167" s="62">
        <v>45491</v>
      </c>
      <c r="B167" s="25">
        <v>712.75</v>
      </c>
      <c r="C167" s="63">
        <f t="shared" si="2"/>
        <v>573.31403601117745</v>
      </c>
      <c r="D167" s="25"/>
    </row>
    <row r="168" spans="1:4" x14ac:dyDescent="0.25">
      <c r="A168" s="62">
        <v>45489</v>
      </c>
      <c r="B168" s="25">
        <v>708.35</v>
      </c>
      <c r="C168" s="63">
        <f t="shared" si="2"/>
        <v>572.18041028769107</v>
      </c>
      <c r="D168" s="25"/>
    </row>
    <row r="169" spans="1:4" x14ac:dyDescent="0.25">
      <c r="A169" s="62">
        <v>45488</v>
      </c>
      <c r="B169" s="25">
        <v>720.45</v>
      </c>
      <c r="C169" s="63">
        <f t="shared" si="2"/>
        <v>571.07334045263167</v>
      </c>
      <c r="D169" s="25"/>
    </row>
    <row r="170" spans="1:4" x14ac:dyDescent="0.25">
      <c r="A170" s="62">
        <v>45485</v>
      </c>
      <c r="B170" s="25">
        <v>713.15</v>
      </c>
      <c r="C170" s="63">
        <f t="shared" si="2"/>
        <v>569.8588960660677</v>
      </c>
      <c r="D170" s="25"/>
    </row>
    <row r="171" spans="1:4" x14ac:dyDescent="0.25">
      <c r="A171" s="62">
        <v>45484</v>
      </c>
      <c r="B171" s="25">
        <v>713</v>
      </c>
      <c r="C171" s="63">
        <f t="shared" si="2"/>
        <v>568.69392774140158</v>
      </c>
      <c r="D171" s="25"/>
    </row>
    <row r="172" spans="1:4" x14ac:dyDescent="0.25">
      <c r="A172" s="62">
        <v>45483</v>
      </c>
      <c r="B172" s="25">
        <v>724.4</v>
      </c>
      <c r="C172" s="63">
        <f t="shared" si="2"/>
        <v>567.52070764173823</v>
      </c>
      <c r="D172" s="25"/>
    </row>
    <row r="173" spans="1:4" x14ac:dyDescent="0.25">
      <c r="A173" s="62">
        <v>45482</v>
      </c>
      <c r="B173" s="25">
        <v>723</v>
      </c>
      <c r="C173" s="63">
        <f t="shared" si="2"/>
        <v>566.24526624045154</v>
      </c>
      <c r="D173" s="25"/>
    </row>
    <row r="174" spans="1:4" x14ac:dyDescent="0.25">
      <c r="A174" s="62">
        <v>45481</v>
      </c>
      <c r="B174" s="25">
        <v>742.2</v>
      </c>
      <c r="C174" s="63">
        <f t="shared" si="2"/>
        <v>564.97083751069908</v>
      </c>
      <c r="D174" s="25"/>
    </row>
    <row r="175" spans="1:4" x14ac:dyDescent="0.25">
      <c r="A175" s="62">
        <v>45478</v>
      </c>
      <c r="B175" s="25">
        <v>736.6</v>
      </c>
      <c r="C175" s="63">
        <f t="shared" si="2"/>
        <v>563.52995001078602</v>
      </c>
      <c r="D175" s="25"/>
    </row>
    <row r="176" spans="1:4" x14ac:dyDescent="0.25">
      <c r="A176" s="62">
        <v>45477</v>
      </c>
      <c r="B176" s="25">
        <v>725.05</v>
      </c>
      <c r="C176" s="63">
        <f t="shared" si="2"/>
        <v>562.122876433638</v>
      </c>
      <c r="D176" s="25"/>
    </row>
    <row r="177" spans="1:4" x14ac:dyDescent="0.25">
      <c r="A177" s="62">
        <v>45476</v>
      </c>
      <c r="B177" s="25">
        <v>733.15</v>
      </c>
      <c r="C177" s="63">
        <f t="shared" si="2"/>
        <v>560.79826567293583</v>
      </c>
      <c r="D177" s="25"/>
    </row>
    <row r="178" spans="1:4" x14ac:dyDescent="0.25">
      <c r="A178" s="62">
        <v>45475</v>
      </c>
      <c r="B178" s="25">
        <v>730.5</v>
      </c>
      <c r="C178" s="63">
        <f t="shared" si="2"/>
        <v>559.3970320605207</v>
      </c>
      <c r="D178" s="25"/>
    </row>
    <row r="179" spans="1:4" x14ac:dyDescent="0.25">
      <c r="A179" s="62">
        <v>45474</v>
      </c>
      <c r="B179" s="25">
        <v>750.2</v>
      </c>
      <c r="C179" s="63">
        <f t="shared" si="2"/>
        <v>558.00595102036232</v>
      </c>
      <c r="D179" s="25"/>
    </row>
    <row r="180" spans="1:4" x14ac:dyDescent="0.25">
      <c r="A180" s="62">
        <v>45471</v>
      </c>
      <c r="B180" s="25">
        <v>734.5</v>
      </c>
      <c r="C180" s="63">
        <f t="shared" si="2"/>
        <v>556.44339777662537</v>
      </c>
      <c r="D180" s="25"/>
    </row>
    <row r="181" spans="1:4" x14ac:dyDescent="0.25">
      <c r="A181" s="62">
        <v>45470</v>
      </c>
      <c r="B181" s="25">
        <v>735.55</v>
      </c>
      <c r="C181" s="63">
        <f t="shared" si="2"/>
        <v>554.99578312440281</v>
      </c>
      <c r="D181" s="25"/>
    </row>
    <row r="182" spans="1:4" x14ac:dyDescent="0.25">
      <c r="A182" s="62">
        <v>45469</v>
      </c>
      <c r="B182" s="25">
        <v>712.3</v>
      </c>
      <c r="C182" s="63">
        <f t="shared" si="2"/>
        <v>553.52786266199962</v>
      </c>
      <c r="D182" s="25"/>
    </row>
    <row r="183" spans="1:4" x14ac:dyDescent="0.25">
      <c r="A183" s="62">
        <v>45468</v>
      </c>
      <c r="B183" s="25">
        <v>720.1</v>
      </c>
      <c r="C183" s="63">
        <f t="shared" si="2"/>
        <v>552.23703227713781</v>
      </c>
      <c r="D183" s="25"/>
    </row>
    <row r="184" spans="1:4" x14ac:dyDescent="0.25">
      <c r="A184" s="62">
        <v>45467</v>
      </c>
      <c r="B184" s="25">
        <v>747.1</v>
      </c>
      <c r="C184" s="63">
        <f t="shared" si="2"/>
        <v>550.87229270215516</v>
      </c>
      <c r="D184" s="25"/>
    </row>
    <row r="185" spans="1:4" x14ac:dyDescent="0.25">
      <c r="A185" s="62">
        <v>45464</v>
      </c>
      <c r="B185" s="25">
        <v>723.65</v>
      </c>
      <c r="C185" s="63">
        <f t="shared" si="2"/>
        <v>549.27694548835154</v>
      </c>
      <c r="D185" s="25"/>
    </row>
    <row r="186" spans="1:4" x14ac:dyDescent="0.25">
      <c r="A186" s="62">
        <v>45463</v>
      </c>
      <c r="B186" s="25">
        <v>707.1</v>
      </c>
      <c r="C186" s="63">
        <f t="shared" si="2"/>
        <v>547.85927837850079</v>
      </c>
      <c r="D186" s="25"/>
    </row>
    <row r="187" spans="1:4" x14ac:dyDescent="0.25">
      <c r="A187" s="62">
        <v>45462</v>
      </c>
      <c r="B187" s="25">
        <v>698.4</v>
      </c>
      <c r="C187" s="63">
        <f t="shared" si="2"/>
        <v>546.56463836531782</v>
      </c>
      <c r="D187" s="25"/>
    </row>
    <row r="188" spans="1:4" x14ac:dyDescent="0.25">
      <c r="A188" s="62">
        <v>45461</v>
      </c>
      <c r="B188" s="25">
        <v>706.7</v>
      </c>
      <c r="C188" s="63">
        <f t="shared" si="2"/>
        <v>545.33020453088955</v>
      </c>
      <c r="D188" s="25"/>
    </row>
    <row r="189" spans="1:4" x14ac:dyDescent="0.25">
      <c r="A189" s="62">
        <v>45457</v>
      </c>
      <c r="B189" s="25">
        <v>683.6</v>
      </c>
      <c r="C189" s="63">
        <f t="shared" si="2"/>
        <v>544.0182549742301</v>
      </c>
      <c r="D189" s="25"/>
    </row>
    <row r="190" spans="1:4" x14ac:dyDescent="0.25">
      <c r="A190" s="62">
        <v>45456</v>
      </c>
      <c r="B190" s="25">
        <v>659.45</v>
      </c>
      <c r="C190" s="63">
        <f t="shared" si="2"/>
        <v>542.88344403906126</v>
      </c>
      <c r="D190" s="25"/>
    </row>
    <row r="191" spans="1:4" x14ac:dyDescent="0.25">
      <c r="A191" s="62">
        <v>45455</v>
      </c>
      <c r="B191" s="25">
        <v>650.25</v>
      </c>
      <c r="C191" s="63">
        <f t="shared" si="2"/>
        <v>541.93574846214301</v>
      </c>
      <c r="D191" s="25"/>
    </row>
    <row r="192" spans="1:4" x14ac:dyDescent="0.25">
      <c r="A192" s="62">
        <v>45454</v>
      </c>
      <c r="B192" s="25">
        <v>638</v>
      </c>
      <c r="C192" s="63">
        <f t="shared" si="2"/>
        <v>541.05514479110354</v>
      </c>
      <c r="D192" s="25"/>
    </row>
    <row r="193" spans="1:4" x14ac:dyDescent="0.25">
      <c r="A193" s="62">
        <v>45453</v>
      </c>
      <c r="B193" s="25">
        <v>629.65</v>
      </c>
      <c r="C193" s="63">
        <f t="shared" si="2"/>
        <v>540.26697523655969</v>
      </c>
      <c r="D193" s="25"/>
    </row>
    <row r="194" spans="1:4" x14ac:dyDescent="0.25">
      <c r="A194" s="62">
        <v>45450</v>
      </c>
      <c r="B194" s="25">
        <v>625.95000000000005</v>
      </c>
      <c r="C194" s="63">
        <f t="shared" ref="C194:C233" si="3">((B194-C195)*$O$5)+C195</f>
        <v>539.5402839783203</v>
      </c>
      <c r="D194" s="25"/>
    </row>
    <row r="195" spans="1:4" x14ac:dyDescent="0.25">
      <c r="A195" s="62">
        <v>45449</v>
      </c>
      <c r="B195" s="25">
        <v>625.1</v>
      </c>
      <c r="C195" s="63">
        <f t="shared" si="3"/>
        <v>538.83776596188386</v>
      </c>
      <c r="D195" s="25"/>
    </row>
    <row r="196" spans="1:4" x14ac:dyDescent="0.25">
      <c r="A196" s="62">
        <v>45448</v>
      </c>
      <c r="B196" s="25">
        <v>608.54999999999995</v>
      </c>
      <c r="C196" s="63">
        <f t="shared" si="3"/>
        <v>538.1364469859642</v>
      </c>
      <c r="D196" s="25"/>
    </row>
    <row r="197" spans="1:4" x14ac:dyDescent="0.25">
      <c r="A197" s="62">
        <v>45447</v>
      </c>
      <c r="B197" s="25">
        <v>553.29999999999995</v>
      </c>
      <c r="C197" s="63">
        <f t="shared" si="3"/>
        <v>537.56397907528094</v>
      </c>
      <c r="D197" s="25"/>
    </row>
    <row r="198" spans="1:4" x14ac:dyDescent="0.25">
      <c r="A198" s="62">
        <v>45446</v>
      </c>
      <c r="B198" s="25">
        <v>658.7</v>
      </c>
      <c r="C198" s="63">
        <f t="shared" si="3"/>
        <v>537.43604394581166</v>
      </c>
      <c r="D198" s="25"/>
    </row>
    <row r="199" spans="1:4" x14ac:dyDescent="0.25">
      <c r="A199" s="62">
        <v>45443</v>
      </c>
      <c r="B199" s="25">
        <v>613</v>
      </c>
      <c r="C199" s="63">
        <f t="shared" si="3"/>
        <v>536.45015812423287</v>
      </c>
      <c r="D199" s="25"/>
    </row>
    <row r="200" spans="1:4" x14ac:dyDescent="0.25">
      <c r="A200" s="62">
        <v>45442</v>
      </c>
      <c r="B200" s="25">
        <v>609</v>
      </c>
      <c r="C200" s="63">
        <f t="shared" si="3"/>
        <v>535.82780168621855</v>
      </c>
      <c r="D200" s="25"/>
    </row>
    <row r="201" spans="1:4" x14ac:dyDescent="0.25">
      <c r="A201" s="62">
        <v>45441</v>
      </c>
      <c r="B201" s="25">
        <v>604.20000000000005</v>
      </c>
      <c r="C201" s="63">
        <f t="shared" si="3"/>
        <v>535.23290576496834</v>
      </c>
      <c r="D201" s="25"/>
    </row>
    <row r="202" spans="1:4" x14ac:dyDescent="0.25">
      <c r="A202" s="62">
        <v>45440</v>
      </c>
      <c r="B202" s="25">
        <v>612.95000000000005</v>
      </c>
      <c r="C202" s="63">
        <f t="shared" si="3"/>
        <v>534.67219768175664</v>
      </c>
      <c r="D202" s="25"/>
    </row>
    <row r="203" spans="1:4" x14ac:dyDescent="0.25">
      <c r="A203" s="62">
        <v>45439</v>
      </c>
      <c r="B203" s="25">
        <v>621.1</v>
      </c>
      <c r="C203" s="63">
        <f t="shared" si="3"/>
        <v>534.0357927848604</v>
      </c>
      <c r="D203" s="25"/>
    </row>
    <row r="204" spans="1:4" x14ac:dyDescent="0.25">
      <c r="A204" s="62">
        <v>45436</v>
      </c>
      <c r="B204" s="25">
        <v>600.65</v>
      </c>
      <c r="C204" s="63">
        <f t="shared" si="3"/>
        <v>533.32795370181054</v>
      </c>
      <c r="D204" s="25"/>
    </row>
    <row r="205" spans="1:4" x14ac:dyDescent="0.25">
      <c r="A205" s="62">
        <v>45435</v>
      </c>
      <c r="B205" s="25">
        <v>617.45000000000005</v>
      </c>
      <c r="C205" s="63">
        <f t="shared" si="3"/>
        <v>532.78061999206921</v>
      </c>
      <c r="D205" s="25"/>
    </row>
    <row r="206" spans="1:4" x14ac:dyDescent="0.25">
      <c r="A206" s="62">
        <v>45434</v>
      </c>
      <c r="B206" s="25">
        <v>609.45000000000005</v>
      </c>
      <c r="C206" s="63">
        <f t="shared" si="3"/>
        <v>532.09225104891527</v>
      </c>
      <c r="D206" s="25"/>
    </row>
    <row r="207" spans="1:4" x14ac:dyDescent="0.25">
      <c r="A207" s="62">
        <v>45433</v>
      </c>
      <c r="B207" s="25">
        <v>603.9</v>
      </c>
      <c r="C207" s="63">
        <f t="shared" si="3"/>
        <v>531.46332626069511</v>
      </c>
      <c r="D207" s="25"/>
    </row>
    <row r="208" spans="1:4" x14ac:dyDescent="0.25">
      <c r="A208" s="62">
        <v>45430</v>
      </c>
      <c r="B208" s="25">
        <v>597.75</v>
      </c>
      <c r="C208" s="63">
        <f t="shared" si="3"/>
        <v>530.87441021403413</v>
      </c>
      <c r="D208" s="25"/>
    </row>
    <row r="209" spans="1:4" x14ac:dyDescent="0.25">
      <c r="A209" s="62">
        <v>45429</v>
      </c>
      <c r="B209" s="25">
        <v>593.9</v>
      </c>
      <c r="C209" s="63">
        <f t="shared" si="3"/>
        <v>530.33070623203446</v>
      </c>
      <c r="D209" s="25"/>
    </row>
    <row r="210" spans="1:4" x14ac:dyDescent="0.25">
      <c r="A210" s="62">
        <v>45428</v>
      </c>
      <c r="B210" s="25">
        <v>594.15</v>
      </c>
      <c r="C210" s="63">
        <f t="shared" si="3"/>
        <v>529.81388270546563</v>
      </c>
      <c r="D210" s="25"/>
    </row>
    <row r="211" spans="1:4" x14ac:dyDescent="0.25">
      <c r="A211" s="62">
        <v>45427</v>
      </c>
      <c r="B211" s="25">
        <v>598.04999999999995</v>
      </c>
      <c r="C211" s="63">
        <f t="shared" si="3"/>
        <v>529.29082484128242</v>
      </c>
      <c r="D211" s="25"/>
    </row>
    <row r="212" spans="1:4" x14ac:dyDescent="0.25">
      <c r="A212" s="62">
        <v>45426</v>
      </c>
      <c r="B212" s="25">
        <v>599.70000000000005</v>
      </c>
      <c r="C212" s="63">
        <f t="shared" si="3"/>
        <v>528.73180715706519</v>
      </c>
      <c r="D212" s="25"/>
    </row>
    <row r="213" spans="1:4" x14ac:dyDescent="0.25">
      <c r="A213" s="62">
        <v>45425</v>
      </c>
      <c r="B213" s="25">
        <v>574.4</v>
      </c>
      <c r="C213" s="63">
        <f t="shared" si="3"/>
        <v>528.15482997948038</v>
      </c>
      <c r="D213" s="25"/>
    </row>
    <row r="214" spans="1:4" x14ac:dyDescent="0.25">
      <c r="A214" s="62">
        <v>45422</v>
      </c>
      <c r="B214" s="25">
        <v>570.25</v>
      </c>
      <c r="C214" s="63">
        <f t="shared" si="3"/>
        <v>527.77885298744366</v>
      </c>
      <c r="D214" s="25"/>
    </row>
    <row r="215" spans="1:4" x14ac:dyDescent="0.25">
      <c r="A215" s="62">
        <v>45421</v>
      </c>
      <c r="B215" s="25">
        <v>530.95000000000005</v>
      </c>
      <c r="C215" s="63">
        <f t="shared" si="3"/>
        <v>527.43355910929279</v>
      </c>
      <c r="D215" s="25"/>
    </row>
    <row r="216" spans="1:4" x14ac:dyDescent="0.25">
      <c r="A216" s="62">
        <v>45420</v>
      </c>
      <c r="B216" s="25">
        <v>557.25</v>
      </c>
      <c r="C216" s="63">
        <f t="shared" si="3"/>
        <v>527.40497015896187</v>
      </c>
      <c r="D216" s="25"/>
    </row>
    <row r="217" spans="1:4" x14ac:dyDescent="0.25">
      <c r="A217" s="62">
        <v>45419</v>
      </c>
      <c r="B217" s="25">
        <v>584.04999999999995</v>
      </c>
      <c r="C217" s="63">
        <f t="shared" si="3"/>
        <v>527.162327639929</v>
      </c>
      <c r="D217" s="25"/>
    </row>
    <row r="218" spans="1:4" x14ac:dyDescent="0.25">
      <c r="A218" s="62">
        <v>45418</v>
      </c>
      <c r="B218" s="25">
        <v>617.54999999999995</v>
      </c>
      <c r="C218" s="63">
        <f t="shared" si="3"/>
        <v>526.69982623862757</v>
      </c>
      <c r="D218" s="25"/>
    </row>
    <row r="219" spans="1:4" x14ac:dyDescent="0.25">
      <c r="A219" s="62">
        <v>45415</v>
      </c>
      <c r="B219" s="25">
        <v>642.20000000000005</v>
      </c>
      <c r="C219" s="63">
        <f t="shared" si="3"/>
        <v>525.96120693975467</v>
      </c>
      <c r="D219" s="25"/>
    </row>
    <row r="220" spans="1:4" x14ac:dyDescent="0.25">
      <c r="A220" s="62">
        <v>45414</v>
      </c>
      <c r="B220" s="25">
        <v>638.25</v>
      </c>
      <c r="C220" s="63">
        <f t="shared" si="3"/>
        <v>525.01617610186645</v>
      </c>
      <c r="D220" s="25"/>
    </row>
    <row r="221" spans="1:4" x14ac:dyDescent="0.25">
      <c r="A221" s="62">
        <v>45412</v>
      </c>
      <c r="B221" s="25">
        <v>629.54999999999995</v>
      </c>
      <c r="C221" s="63">
        <f t="shared" si="3"/>
        <v>524.09557590757265</v>
      </c>
      <c r="D221" s="25"/>
    </row>
    <row r="222" spans="1:4" x14ac:dyDescent="0.25">
      <c r="A222" s="62">
        <v>45411</v>
      </c>
      <c r="B222" s="25">
        <v>603.29999999999995</v>
      </c>
      <c r="C222" s="63">
        <f t="shared" si="3"/>
        <v>523.23822286617076</v>
      </c>
      <c r="D222" s="25"/>
    </row>
    <row r="223" spans="1:4" x14ac:dyDescent="0.25">
      <c r="A223" s="62">
        <v>45408</v>
      </c>
      <c r="B223" s="25">
        <v>600.9</v>
      </c>
      <c r="C223" s="63">
        <f t="shared" si="3"/>
        <v>522.5873141089852</v>
      </c>
      <c r="D223" s="25"/>
    </row>
    <row r="224" spans="1:4" x14ac:dyDescent="0.25">
      <c r="A224" s="62">
        <v>45407</v>
      </c>
      <c r="B224" s="25">
        <v>604.70000000000005</v>
      </c>
      <c r="C224" s="63">
        <f t="shared" si="3"/>
        <v>521.95062560580618</v>
      </c>
      <c r="D224" s="25"/>
    </row>
    <row r="225" spans="1:4" x14ac:dyDescent="0.25">
      <c r="A225" s="62">
        <v>45406</v>
      </c>
      <c r="B225" s="25">
        <v>600.4</v>
      </c>
      <c r="C225" s="63">
        <f t="shared" si="3"/>
        <v>521.27786646438994</v>
      </c>
      <c r="D225" s="25"/>
    </row>
    <row r="226" spans="1:4" x14ac:dyDescent="0.25">
      <c r="A226" s="62">
        <v>45405</v>
      </c>
      <c r="B226" s="25">
        <v>616.35</v>
      </c>
      <c r="C226" s="63">
        <f t="shared" si="3"/>
        <v>520.6345970860516</v>
      </c>
      <c r="D226" s="25"/>
    </row>
    <row r="227" spans="1:4" x14ac:dyDescent="0.25">
      <c r="A227" s="62">
        <v>45404</v>
      </c>
      <c r="B227" s="25">
        <v>611.45000000000005</v>
      </c>
      <c r="C227" s="63">
        <f t="shared" si="3"/>
        <v>519.85642307862111</v>
      </c>
      <c r="D227" s="25"/>
    </row>
    <row r="228" spans="1:4" x14ac:dyDescent="0.25">
      <c r="A228" s="62">
        <v>45401</v>
      </c>
      <c r="B228" s="25">
        <v>626.70000000000005</v>
      </c>
      <c r="C228" s="63">
        <f t="shared" si="3"/>
        <v>519.11175985161799</v>
      </c>
      <c r="D228" s="25"/>
    </row>
    <row r="229" spans="1:4" x14ac:dyDescent="0.25">
      <c r="A229" s="62">
        <v>45400</v>
      </c>
      <c r="B229" s="25">
        <v>628.5</v>
      </c>
      <c r="C229" s="63">
        <f t="shared" si="3"/>
        <v>518.23705871220022</v>
      </c>
      <c r="D229" s="25"/>
    </row>
    <row r="230" spans="1:4" x14ac:dyDescent="0.25">
      <c r="A230" s="62">
        <v>45398</v>
      </c>
      <c r="B230" s="25">
        <v>602.04999999999995</v>
      </c>
      <c r="C230" s="63">
        <f t="shared" si="3"/>
        <v>517.3406120350636</v>
      </c>
      <c r="D230" s="25"/>
    </row>
    <row r="231" spans="1:4" x14ac:dyDescent="0.25">
      <c r="A231" s="62">
        <v>45397</v>
      </c>
      <c r="B231" s="25">
        <v>609.5</v>
      </c>
      <c r="C231" s="63">
        <f t="shared" si="3"/>
        <v>516.65191782396653</v>
      </c>
      <c r="D231" s="25"/>
    </row>
    <row r="232" spans="1:4" x14ac:dyDescent="0.25">
      <c r="A232" s="62">
        <v>45394</v>
      </c>
      <c r="B232" s="25">
        <v>616.45000000000005</v>
      </c>
      <c r="C232" s="63">
        <f t="shared" si="3"/>
        <v>515.8970553672508</v>
      </c>
      <c r="D232" s="25"/>
    </row>
    <row r="233" spans="1:4" x14ac:dyDescent="0.25">
      <c r="A233" s="62">
        <v>45392</v>
      </c>
      <c r="B233" s="25">
        <v>616.04999999999995</v>
      </c>
      <c r="C233" s="63">
        <f t="shared" si="3"/>
        <v>515.07955175235043</v>
      </c>
      <c r="D233" s="25"/>
    </row>
    <row r="234" spans="1:4" x14ac:dyDescent="0.25">
      <c r="A234" s="62">
        <v>45391</v>
      </c>
      <c r="B234" s="25">
        <v>613.1</v>
      </c>
      <c r="C234" s="63">
        <f>((B234-C235)*$O$5)+C235</f>
        <v>514.2586537991175</v>
      </c>
      <c r="D234" s="25"/>
    </row>
    <row r="235" spans="1:4" x14ac:dyDescent="0.25">
      <c r="A235" s="62">
        <v>45390</v>
      </c>
      <c r="B235" s="25">
        <v>627.5</v>
      </c>
      <c r="C235" s="63">
        <f t="shared" ref="C235:C236" si="4">((B235-C236)*$O$5)+C236</f>
        <v>513.45506561862248</v>
      </c>
      <c r="D235" s="25"/>
    </row>
    <row r="236" spans="1:4" x14ac:dyDescent="0.25">
      <c r="A236" s="62">
        <v>45387</v>
      </c>
      <c r="B236" s="25">
        <v>599.1</v>
      </c>
      <c r="C236" s="63">
        <f t="shared" si="4"/>
        <v>512.52787103015601</v>
      </c>
      <c r="D236" s="25"/>
    </row>
    <row r="237" spans="1:4" x14ac:dyDescent="0.25">
      <c r="A237" s="62">
        <v>45386</v>
      </c>
      <c r="B237" s="25">
        <v>583.04999999999995</v>
      </c>
      <c r="C237" s="63">
        <f>((B237-C238)*$O$5)+C238</f>
        <v>511.82403258324666</v>
      </c>
      <c r="D237" s="25"/>
    </row>
    <row r="238" spans="1:4" x14ac:dyDescent="0.25">
      <c r="A238" s="62">
        <v>45385</v>
      </c>
      <c r="B238" s="25">
        <v>581.35</v>
      </c>
      <c r="C238" s="63">
        <f>((B238-C239)*$O$5)+C239</f>
        <v>511.24495967741939</v>
      </c>
      <c r="D238" s="25"/>
    </row>
    <row r="239" spans="1:4" x14ac:dyDescent="0.25">
      <c r="A239" s="62">
        <v>45384</v>
      </c>
      <c r="B239" s="25">
        <v>542.20000000000005</v>
      </c>
      <c r="C239" s="63">
        <f>AVERAGE(B239:B248)</f>
        <v>510.67500000000001</v>
      </c>
      <c r="D239" s="27" t="s">
        <v>57</v>
      </c>
    </row>
    <row r="240" spans="1:4" x14ac:dyDescent="0.25">
      <c r="A240" s="62">
        <v>45383</v>
      </c>
      <c r="B240" s="25">
        <v>518.45000000000005</v>
      </c>
      <c r="C240" s="63"/>
      <c r="D240" s="25"/>
    </row>
    <row r="241" spans="1:4" x14ac:dyDescent="0.25">
      <c r="A241" s="62">
        <v>45379</v>
      </c>
      <c r="B241" s="25">
        <v>528.9</v>
      </c>
      <c r="C241" s="63"/>
      <c r="D241" s="25"/>
    </row>
    <row r="242" spans="1:4" x14ac:dyDescent="0.25">
      <c r="A242" s="62">
        <v>45378</v>
      </c>
      <c r="B242" s="25">
        <v>516.65</v>
      </c>
      <c r="C242" s="63"/>
      <c r="D242" s="25"/>
    </row>
    <row r="243" spans="1:4" x14ac:dyDescent="0.25">
      <c r="A243" s="62">
        <v>45377</v>
      </c>
      <c r="B243" s="25">
        <v>513.20000000000005</v>
      </c>
      <c r="C243" s="63"/>
      <c r="D243" s="25"/>
    </row>
    <row r="244" spans="1:4" x14ac:dyDescent="0.25">
      <c r="A244" s="62">
        <v>45373</v>
      </c>
      <c r="B244" s="25">
        <v>515.45000000000005</v>
      </c>
      <c r="C244" s="63"/>
      <c r="D244" s="25"/>
    </row>
    <row r="245" spans="1:4" x14ac:dyDescent="0.25">
      <c r="A245" s="62">
        <v>45372</v>
      </c>
      <c r="B245" s="25">
        <v>504.55</v>
      </c>
      <c r="C245" s="63"/>
      <c r="D245" s="25"/>
    </row>
    <row r="246" spans="1:4" x14ac:dyDescent="0.25">
      <c r="A246" s="62">
        <v>45371</v>
      </c>
      <c r="B246" s="25">
        <v>489.15</v>
      </c>
      <c r="C246" s="63"/>
      <c r="D246" s="25"/>
    </row>
    <row r="247" spans="1:4" x14ac:dyDescent="0.25">
      <c r="A247" s="62">
        <v>45370</v>
      </c>
      <c r="B247" s="25">
        <v>482.8</v>
      </c>
      <c r="C247" s="63"/>
      <c r="D247" s="25"/>
    </row>
    <row r="248" spans="1:4" x14ac:dyDescent="0.25">
      <c r="A248" s="64">
        <v>45369</v>
      </c>
      <c r="B248" s="65">
        <v>495.4</v>
      </c>
      <c r="C248" s="66"/>
      <c r="D248" s="25"/>
    </row>
  </sheetData>
  <mergeCells count="1">
    <mergeCell ref="I6:M6"/>
  </mergeCell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B983F99-DDDF-4DA9-9C34-35D172453FD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C2:C239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17DC-CE40-48C1-9E1C-D2DB4C42EEBB}">
  <dimension ref="A1:M248"/>
  <sheetViews>
    <sheetView workbookViewId="0">
      <pane ySplit="1" topLeftCell="A2" activePane="bottomLeft" state="frozen"/>
      <selection pane="bottomLeft" activeCell="K13" sqref="K13"/>
    </sheetView>
  </sheetViews>
  <sheetFormatPr defaultRowHeight="15" x14ac:dyDescent="0.25"/>
  <cols>
    <col min="1" max="1" width="11.140625" customWidth="1"/>
    <col min="2" max="2" width="11.42578125" customWidth="1"/>
    <col min="3" max="3" width="9.42578125" customWidth="1"/>
    <col min="6" max="7" width="12" bestFit="1" customWidth="1"/>
    <col min="9" max="9" width="10" customWidth="1"/>
    <col min="12" max="12" width="31.140625" bestFit="1" customWidth="1"/>
    <col min="13" max="13" width="12.5703125" bestFit="1" customWidth="1"/>
  </cols>
  <sheetData>
    <row r="1" spans="1:13" x14ac:dyDescent="0.25">
      <c r="A1" s="89" t="s">
        <v>0</v>
      </c>
      <c r="B1" s="90" t="s">
        <v>11</v>
      </c>
      <c r="C1" s="90" t="s">
        <v>60</v>
      </c>
      <c r="D1" s="90" t="s">
        <v>61</v>
      </c>
      <c r="E1" s="90" t="s">
        <v>62</v>
      </c>
      <c r="F1" s="90" t="s">
        <v>63</v>
      </c>
      <c r="G1" s="90" t="s">
        <v>64</v>
      </c>
      <c r="H1" s="90" t="s">
        <v>65</v>
      </c>
      <c r="I1" s="91" t="s">
        <v>66</v>
      </c>
    </row>
    <row r="2" spans="1:13" x14ac:dyDescent="0.25">
      <c r="A2" s="73">
        <v>45729</v>
      </c>
      <c r="B2" s="74">
        <v>514.1</v>
      </c>
      <c r="C2" s="74">
        <f t="shared" ref="C2:C65" si="0">B2-B3</f>
        <v>-1.1000000000000227</v>
      </c>
      <c r="D2" s="74">
        <f t="shared" ref="D2:D65" si="1">IF(C2&gt;0,C2,0)</f>
        <v>0</v>
      </c>
      <c r="E2" s="74">
        <f t="shared" ref="E2:E65" si="2">IF(C2&gt;0,0,ABS(C2))</f>
        <v>1.1000000000000227</v>
      </c>
      <c r="F2" s="75">
        <f t="shared" ref="F2:G2" si="3">AVERAGE(D2:D15)</f>
        <v>7.2750000000000057</v>
      </c>
      <c r="G2" s="75">
        <f t="shared" si="3"/>
        <v>4.0214285714285767</v>
      </c>
      <c r="H2" s="75">
        <f t="shared" ref="H2:H65" si="4">F2/G2</f>
        <v>1.8090586145648304</v>
      </c>
      <c r="I2" s="76">
        <f t="shared" ref="I2:I65" si="5">IF(G2=0,100,100-(100/(1+H2)))</f>
        <v>64.400885235535867</v>
      </c>
    </row>
    <row r="3" spans="1:13" x14ac:dyDescent="0.25">
      <c r="A3" s="73">
        <v>45728</v>
      </c>
      <c r="B3" s="74">
        <v>515.20000000000005</v>
      </c>
      <c r="C3" s="74">
        <f t="shared" si="0"/>
        <v>1.4500000000000455</v>
      </c>
      <c r="D3" s="74">
        <f t="shared" si="1"/>
        <v>1.4500000000000455</v>
      </c>
      <c r="E3" s="74">
        <f t="shared" si="2"/>
        <v>0</v>
      </c>
      <c r="F3" s="75">
        <f t="shared" ref="F3:G3" si="6">AVERAGE(D3:D16)</f>
        <v>8.2535714285714334</v>
      </c>
      <c r="G3" s="75">
        <f t="shared" si="6"/>
        <v>3.9428571428571462</v>
      </c>
      <c r="H3" s="75">
        <f t="shared" si="4"/>
        <v>2.0932971014492749</v>
      </c>
      <c r="I3" s="76">
        <f t="shared" si="5"/>
        <v>67.67203513909223</v>
      </c>
    </row>
    <row r="4" spans="1:13" x14ac:dyDescent="0.25">
      <c r="A4" s="73">
        <v>45727</v>
      </c>
      <c r="B4" s="74">
        <v>513.75</v>
      </c>
      <c r="C4" s="74">
        <f t="shared" si="0"/>
        <v>8.3999999999999773</v>
      </c>
      <c r="D4" s="74">
        <f t="shared" si="1"/>
        <v>8.3999999999999773</v>
      </c>
      <c r="E4" s="74">
        <f t="shared" si="2"/>
        <v>0</v>
      </c>
      <c r="F4" s="75">
        <f t="shared" ref="F4:G4" si="7">AVERAGE(D4:D17)</f>
        <v>9.1821428571428623</v>
      </c>
      <c r="G4" s="75">
        <f t="shared" si="7"/>
        <v>3.9428571428571462</v>
      </c>
      <c r="H4" s="75">
        <f t="shared" si="4"/>
        <v>2.3288043478260865</v>
      </c>
      <c r="I4" s="76">
        <f t="shared" si="5"/>
        <v>69.959183673469383</v>
      </c>
    </row>
    <row r="5" spans="1:13" x14ac:dyDescent="0.25">
      <c r="A5" s="73">
        <v>45726</v>
      </c>
      <c r="B5" s="74">
        <v>505.35</v>
      </c>
      <c r="C5" s="74">
        <f t="shared" si="0"/>
        <v>13.650000000000034</v>
      </c>
      <c r="D5" s="74">
        <f t="shared" si="1"/>
        <v>13.650000000000034</v>
      </c>
      <c r="E5" s="74">
        <f t="shared" si="2"/>
        <v>0</v>
      </c>
      <c r="F5" s="75">
        <f t="shared" ref="F5:G5" si="8">AVERAGE(D5:D18)</f>
        <v>9.217857142857147</v>
      </c>
      <c r="G5" s="75">
        <f t="shared" si="8"/>
        <v>3.9428571428571462</v>
      </c>
      <c r="H5" s="75">
        <f t="shared" si="4"/>
        <v>2.3378623188405787</v>
      </c>
      <c r="I5" s="76">
        <f t="shared" si="5"/>
        <v>70.04070556309361</v>
      </c>
    </row>
    <row r="6" spans="1:13" x14ac:dyDescent="0.25">
      <c r="A6" s="73">
        <v>45723</v>
      </c>
      <c r="B6" s="74">
        <v>491.7</v>
      </c>
      <c r="C6" s="74">
        <f t="shared" si="0"/>
        <v>-7.9000000000000341</v>
      </c>
      <c r="D6" s="74">
        <f t="shared" si="1"/>
        <v>0</v>
      </c>
      <c r="E6" s="74">
        <f t="shared" si="2"/>
        <v>7.9000000000000341</v>
      </c>
      <c r="F6" s="75">
        <f t="shared" ref="F6:G6" si="9">AVERAGE(D6:D19)</f>
        <v>8.2428571428571455</v>
      </c>
      <c r="G6" s="75">
        <f t="shared" si="9"/>
        <v>4.3428571428571479</v>
      </c>
      <c r="H6" s="75">
        <f t="shared" si="4"/>
        <v>1.8980263157894721</v>
      </c>
      <c r="I6" s="76">
        <f t="shared" si="5"/>
        <v>65.493757094211105</v>
      </c>
    </row>
    <row r="7" spans="1:13" x14ac:dyDescent="0.25">
      <c r="A7" s="73">
        <v>45722</v>
      </c>
      <c r="B7" s="74">
        <v>499.6</v>
      </c>
      <c r="C7" s="74">
        <f t="shared" si="0"/>
        <v>-9.5</v>
      </c>
      <c r="D7" s="74">
        <f t="shared" si="1"/>
        <v>0</v>
      </c>
      <c r="E7" s="74">
        <f t="shared" si="2"/>
        <v>9.5</v>
      </c>
      <c r="F7" s="75">
        <f t="shared" ref="F7:G7" si="10">AVERAGE(D7:D20)</f>
        <v>8.2428571428571455</v>
      </c>
      <c r="G7" s="75">
        <f t="shared" si="10"/>
        <v>5.9607142857142845</v>
      </c>
      <c r="H7" s="75">
        <f t="shared" si="4"/>
        <v>1.3828639904134219</v>
      </c>
      <c r="I7" s="76">
        <f t="shared" si="5"/>
        <v>58.033693738999254</v>
      </c>
      <c r="M7" s="29"/>
    </row>
    <row r="8" spans="1:13" x14ac:dyDescent="0.25">
      <c r="A8" s="73">
        <v>45721</v>
      </c>
      <c r="B8" s="74">
        <v>509.1</v>
      </c>
      <c r="C8" s="74">
        <f t="shared" si="0"/>
        <v>27.850000000000023</v>
      </c>
      <c r="D8" s="74">
        <f t="shared" si="1"/>
        <v>27.850000000000023</v>
      </c>
      <c r="E8" s="74">
        <f t="shared" si="2"/>
        <v>0</v>
      </c>
      <c r="F8" s="75">
        <f t="shared" ref="F8:G8" si="11">AVERAGE(D8:D21)</f>
        <v>8.2464285714285701</v>
      </c>
      <c r="G8" s="75">
        <f t="shared" si="11"/>
        <v>5.2821428571428566</v>
      </c>
      <c r="H8" s="75">
        <f t="shared" si="4"/>
        <v>1.5611899932386748</v>
      </c>
      <c r="I8" s="76">
        <f t="shared" si="5"/>
        <v>60.955649419218588</v>
      </c>
      <c r="L8" s="13" t="s">
        <v>67</v>
      </c>
      <c r="M8" s="24">
        <f>AVERAGE(I2:I234)</f>
        <v>48.860758527250638</v>
      </c>
    </row>
    <row r="9" spans="1:13" x14ac:dyDescent="0.25">
      <c r="A9" s="73">
        <v>45720</v>
      </c>
      <c r="B9" s="74">
        <v>481.25</v>
      </c>
      <c r="C9" s="74">
        <f t="shared" si="0"/>
        <v>7.3999999999999773</v>
      </c>
      <c r="D9" s="74">
        <f t="shared" si="1"/>
        <v>7.3999999999999773</v>
      </c>
      <c r="E9" s="74">
        <f t="shared" si="2"/>
        <v>0</v>
      </c>
      <c r="F9" s="75">
        <f t="shared" ref="F9:G9" si="12">AVERAGE(D9:D22)</f>
        <v>6.3071428571428578</v>
      </c>
      <c r="G9" s="75">
        <f t="shared" si="12"/>
        <v>5.2821428571428566</v>
      </c>
      <c r="H9" s="75">
        <f t="shared" si="4"/>
        <v>1.1940500338066264</v>
      </c>
      <c r="I9" s="76">
        <f t="shared" si="5"/>
        <v>54.422187981510028</v>
      </c>
      <c r="L9" s="13" t="s">
        <v>68</v>
      </c>
      <c r="M9" s="23">
        <f>AVERAGE(H2:H234)</f>
        <v>1.2175762581045255</v>
      </c>
    </row>
    <row r="10" spans="1:13" x14ac:dyDescent="0.25">
      <c r="A10" s="73">
        <v>45719</v>
      </c>
      <c r="B10" s="74">
        <v>473.85</v>
      </c>
      <c r="C10" s="74">
        <f t="shared" si="0"/>
        <v>9.75</v>
      </c>
      <c r="D10" s="74">
        <f t="shared" si="1"/>
        <v>9.75</v>
      </c>
      <c r="E10" s="74">
        <f t="shared" si="2"/>
        <v>0</v>
      </c>
      <c r="F10" s="75">
        <f t="shared" ref="F10:G10" si="13">AVERAGE(D10:D23)</f>
        <v>5.7785714285714311</v>
      </c>
      <c r="G10" s="75">
        <f t="shared" si="13"/>
        <v>5.996428571428571</v>
      </c>
      <c r="H10" s="75">
        <f t="shared" si="4"/>
        <v>0.96366885050625417</v>
      </c>
      <c r="I10" s="76">
        <f t="shared" si="5"/>
        <v>49.074916590840168</v>
      </c>
      <c r="L10" s="13" t="s">
        <v>59</v>
      </c>
      <c r="M10" s="13"/>
    </row>
    <row r="11" spans="1:13" x14ac:dyDescent="0.25">
      <c r="A11" s="73">
        <v>45716</v>
      </c>
      <c r="B11" s="74">
        <v>464.1</v>
      </c>
      <c r="C11" s="74">
        <f t="shared" si="0"/>
        <v>5.3000000000000114</v>
      </c>
      <c r="D11" s="74">
        <f t="shared" si="1"/>
        <v>5.3000000000000114</v>
      </c>
      <c r="E11" s="74">
        <f t="shared" si="2"/>
        <v>0</v>
      </c>
      <c r="F11" s="75">
        <f t="shared" ref="F11:G11" si="14">AVERAGE(D11:D24)</f>
        <v>5.08214285714286</v>
      </c>
      <c r="G11" s="75">
        <f t="shared" si="14"/>
        <v>6.5499999999999989</v>
      </c>
      <c r="H11" s="75">
        <f t="shared" si="4"/>
        <v>0.77589967284623829</v>
      </c>
      <c r="I11" s="76">
        <f t="shared" si="5"/>
        <v>43.690512741786932</v>
      </c>
    </row>
    <row r="12" spans="1:13" x14ac:dyDescent="0.25">
      <c r="A12" s="73">
        <v>45715</v>
      </c>
      <c r="B12" s="74">
        <v>458.8</v>
      </c>
      <c r="C12" s="74">
        <f t="shared" si="0"/>
        <v>-8.4499999999999886</v>
      </c>
      <c r="D12" s="74">
        <f t="shared" si="1"/>
        <v>0</v>
      </c>
      <c r="E12" s="74">
        <f t="shared" si="2"/>
        <v>8.4499999999999886</v>
      </c>
      <c r="F12" s="75">
        <f t="shared" ref="F12:G12" si="15">AVERAGE(D12:D25)</f>
        <v>4.7035714285714301</v>
      </c>
      <c r="G12" s="75">
        <f t="shared" si="15"/>
        <v>7.2321428571428568</v>
      </c>
      <c r="H12" s="75">
        <f t="shared" si="4"/>
        <v>0.6503703703703706</v>
      </c>
      <c r="I12" s="76">
        <f t="shared" si="5"/>
        <v>39.407540394973076</v>
      </c>
    </row>
    <row r="13" spans="1:13" x14ac:dyDescent="0.25">
      <c r="A13" s="73">
        <v>45713</v>
      </c>
      <c r="B13" s="74">
        <v>467.25</v>
      </c>
      <c r="C13" s="74">
        <f t="shared" si="0"/>
        <v>-12.449999999999989</v>
      </c>
      <c r="D13" s="74">
        <f t="shared" si="1"/>
        <v>0</v>
      </c>
      <c r="E13" s="74">
        <f t="shared" si="2"/>
        <v>12.449999999999989</v>
      </c>
      <c r="F13" s="75">
        <f t="shared" ref="F13:G13" si="16">AVERAGE(D13:D26)</f>
        <v>4.7321428571428568</v>
      </c>
      <c r="G13" s="75">
        <f t="shared" si="16"/>
        <v>6.628571428571429</v>
      </c>
      <c r="H13" s="75">
        <f t="shared" si="4"/>
        <v>0.71390086206896541</v>
      </c>
      <c r="I13" s="76">
        <f t="shared" si="5"/>
        <v>41.653568060358367</v>
      </c>
    </row>
    <row r="14" spans="1:13" x14ac:dyDescent="0.25">
      <c r="A14" s="73">
        <v>45712</v>
      </c>
      <c r="B14" s="74">
        <v>479.7</v>
      </c>
      <c r="C14" s="74">
        <f t="shared" si="0"/>
        <v>-16.900000000000034</v>
      </c>
      <c r="D14" s="74">
        <f t="shared" si="1"/>
        <v>0</v>
      </c>
      <c r="E14" s="74">
        <f t="shared" si="2"/>
        <v>16.900000000000034</v>
      </c>
      <c r="F14" s="75">
        <f t="shared" ref="F14:G14" si="17">AVERAGE(D14:D27)</f>
        <v>6.4535714285714301</v>
      </c>
      <c r="G14" s="75">
        <f t="shared" si="17"/>
        <v>5.7392857142857157</v>
      </c>
      <c r="H14" s="75">
        <f t="shared" si="4"/>
        <v>1.1244555071561917</v>
      </c>
      <c r="I14" s="76">
        <f t="shared" si="5"/>
        <v>52.929115407147044</v>
      </c>
    </row>
    <row r="15" spans="1:13" x14ac:dyDescent="0.25">
      <c r="A15" s="73">
        <v>45709</v>
      </c>
      <c r="B15" s="74">
        <v>496.6</v>
      </c>
      <c r="C15" s="74">
        <f t="shared" si="0"/>
        <v>28.050000000000011</v>
      </c>
      <c r="D15" s="74">
        <f t="shared" si="1"/>
        <v>28.050000000000011</v>
      </c>
      <c r="E15" s="74">
        <f t="shared" si="2"/>
        <v>0</v>
      </c>
      <c r="F15" s="75">
        <f t="shared" ref="F15:G15" si="18">AVERAGE(D15:D28)</f>
        <v>8.1714285714285744</v>
      </c>
      <c r="G15" s="75">
        <f t="shared" si="18"/>
        <v>4.5321428571428566</v>
      </c>
      <c r="H15" s="75">
        <f t="shared" si="4"/>
        <v>1.8029944838455485</v>
      </c>
      <c r="I15" s="76">
        <f t="shared" si="5"/>
        <v>64.32386842845095</v>
      </c>
      <c r="K15" s="28"/>
    </row>
    <row r="16" spans="1:13" x14ac:dyDescent="0.25">
      <c r="A16" s="73">
        <v>45708</v>
      </c>
      <c r="B16" s="74">
        <v>468.55</v>
      </c>
      <c r="C16" s="74">
        <f t="shared" si="0"/>
        <v>13.699999999999989</v>
      </c>
      <c r="D16" s="74">
        <f t="shared" si="1"/>
        <v>13.699999999999989</v>
      </c>
      <c r="E16" s="74">
        <f t="shared" si="2"/>
        <v>0</v>
      </c>
      <c r="F16" s="75">
        <f t="shared" ref="F16:G16" si="19">AVERAGE(D16:D29)</f>
        <v>6.1678571428571445</v>
      </c>
      <c r="G16" s="75">
        <f t="shared" si="19"/>
        <v>6.4142857142857155</v>
      </c>
      <c r="H16" s="75">
        <f t="shared" si="4"/>
        <v>0.96158129175946561</v>
      </c>
      <c r="I16" s="76">
        <f t="shared" si="5"/>
        <v>49.020720976440543</v>
      </c>
    </row>
    <row r="17" spans="1:9" x14ac:dyDescent="0.25">
      <c r="A17" s="73">
        <v>45707</v>
      </c>
      <c r="B17" s="74">
        <v>454.85</v>
      </c>
      <c r="C17" s="74">
        <f t="shared" si="0"/>
        <v>14.450000000000045</v>
      </c>
      <c r="D17" s="74">
        <f t="shared" si="1"/>
        <v>14.450000000000045</v>
      </c>
      <c r="E17" s="74">
        <f t="shared" si="2"/>
        <v>0</v>
      </c>
      <c r="F17" s="75">
        <f t="shared" ref="F17:G17" si="20">AVERAGE(D17:D30)</f>
        <v>5.1892857142857167</v>
      </c>
      <c r="G17" s="75">
        <f t="shared" si="20"/>
        <v>9.0285714285714302</v>
      </c>
      <c r="H17" s="75">
        <f t="shared" si="4"/>
        <v>0.57476265822784822</v>
      </c>
      <c r="I17" s="76">
        <f t="shared" si="5"/>
        <v>36.498367244410957</v>
      </c>
    </row>
    <row r="18" spans="1:9" x14ac:dyDescent="0.25">
      <c r="A18" s="73">
        <v>45706</v>
      </c>
      <c r="B18" s="74">
        <v>440.4</v>
      </c>
      <c r="C18" s="74">
        <f t="shared" si="0"/>
        <v>8.8999999999999773</v>
      </c>
      <c r="D18" s="74">
        <f t="shared" si="1"/>
        <v>8.8999999999999773</v>
      </c>
      <c r="E18" s="74">
        <f t="shared" si="2"/>
        <v>0</v>
      </c>
      <c r="F18" s="75">
        <f t="shared" ref="F18:G18" si="21">AVERAGE(D18:D31)</f>
        <v>5.9249999999999989</v>
      </c>
      <c r="G18" s="75">
        <f t="shared" si="21"/>
        <v>9.0285714285714302</v>
      </c>
      <c r="H18" s="75">
        <f t="shared" si="4"/>
        <v>0.65624999999999978</v>
      </c>
      <c r="I18" s="76">
        <f t="shared" si="5"/>
        <v>39.622641509433954</v>
      </c>
    </row>
    <row r="19" spans="1:9" x14ac:dyDescent="0.25">
      <c r="A19" s="73">
        <v>45705</v>
      </c>
      <c r="B19" s="74">
        <v>431.5</v>
      </c>
      <c r="C19" s="74">
        <f t="shared" si="0"/>
        <v>-5.6000000000000227</v>
      </c>
      <c r="D19" s="74">
        <f t="shared" si="1"/>
        <v>0</v>
      </c>
      <c r="E19" s="74">
        <f t="shared" si="2"/>
        <v>5.6000000000000227</v>
      </c>
      <c r="F19" s="75">
        <f t="shared" ref="F19:G19" si="22">AVERAGE(D19:D32)</f>
        <v>5.9392857142857167</v>
      </c>
      <c r="G19" s="75">
        <f t="shared" si="22"/>
        <v>9.0285714285714302</v>
      </c>
      <c r="H19" s="75">
        <f t="shared" si="4"/>
        <v>0.65783227848101278</v>
      </c>
      <c r="I19" s="76">
        <f t="shared" si="5"/>
        <v>39.680267239322369</v>
      </c>
    </row>
    <row r="20" spans="1:9" x14ac:dyDescent="0.25">
      <c r="A20" s="73">
        <v>45702</v>
      </c>
      <c r="B20" s="74">
        <v>437.1</v>
      </c>
      <c r="C20" s="74">
        <f t="shared" si="0"/>
        <v>-30.549999999999955</v>
      </c>
      <c r="D20" s="74">
        <f t="shared" si="1"/>
        <v>0</v>
      </c>
      <c r="E20" s="74">
        <f t="shared" si="2"/>
        <v>30.549999999999955</v>
      </c>
      <c r="F20" s="75">
        <f t="shared" ref="F20:G20" si="23">AVERAGE(D20:D33)</f>
        <v>5.9392857142857167</v>
      </c>
      <c r="G20" s="75">
        <f t="shared" si="23"/>
        <v>10.717857142857143</v>
      </c>
      <c r="H20" s="75">
        <f t="shared" si="4"/>
        <v>0.55414861712762431</v>
      </c>
      <c r="I20" s="76">
        <f t="shared" si="5"/>
        <v>35.656089193825039</v>
      </c>
    </row>
    <row r="21" spans="1:9" x14ac:dyDescent="0.25">
      <c r="A21" s="73">
        <v>45701</v>
      </c>
      <c r="B21" s="74">
        <v>467.65</v>
      </c>
      <c r="C21" s="74">
        <f t="shared" si="0"/>
        <v>4.9999999999954525E-2</v>
      </c>
      <c r="D21" s="74">
        <f t="shared" si="1"/>
        <v>4.9999999999954525E-2</v>
      </c>
      <c r="E21" s="74">
        <f t="shared" si="2"/>
        <v>0</v>
      </c>
      <c r="F21" s="75">
        <f t="shared" ref="F21:G21" si="24">AVERAGE(D21:D34)</f>
        <v>5.9392857142857167</v>
      </c>
      <c r="G21" s="75">
        <f t="shared" si="24"/>
        <v>10.703571428571435</v>
      </c>
      <c r="H21" s="75">
        <f t="shared" si="4"/>
        <v>0.55488822155488815</v>
      </c>
      <c r="I21" s="76">
        <f t="shared" si="5"/>
        <v>35.686695278969964</v>
      </c>
    </row>
    <row r="22" spans="1:9" x14ac:dyDescent="0.25">
      <c r="A22" s="73">
        <v>45700</v>
      </c>
      <c r="B22" s="74">
        <v>467.6</v>
      </c>
      <c r="C22" s="74">
        <f t="shared" si="0"/>
        <v>0.70000000000004547</v>
      </c>
      <c r="D22" s="74">
        <f t="shared" si="1"/>
        <v>0.70000000000004547</v>
      </c>
      <c r="E22" s="74">
        <f t="shared" si="2"/>
        <v>0</v>
      </c>
      <c r="F22" s="75">
        <f t="shared" ref="F22:G22" si="25">AVERAGE(D22:D35)</f>
        <v>5.9357142857142913</v>
      </c>
      <c r="G22" s="75">
        <f t="shared" si="25"/>
        <v>11.40357142857143</v>
      </c>
      <c r="H22" s="75">
        <f t="shared" si="4"/>
        <v>0.52051362355151931</v>
      </c>
      <c r="I22" s="76">
        <f t="shared" si="5"/>
        <v>34.232749742533485</v>
      </c>
    </row>
    <row r="23" spans="1:9" x14ac:dyDescent="0.25">
      <c r="A23" s="73">
        <v>45699</v>
      </c>
      <c r="B23" s="74">
        <v>466.9</v>
      </c>
      <c r="C23" s="74">
        <f t="shared" si="0"/>
        <v>-10</v>
      </c>
      <c r="D23" s="74">
        <f t="shared" si="1"/>
        <v>0</v>
      </c>
      <c r="E23" s="74">
        <f t="shared" si="2"/>
        <v>10</v>
      </c>
      <c r="F23" s="75">
        <f t="shared" ref="F23" si="26">AVERAGE(D23:D36)</f>
        <v>5.8857142857142879</v>
      </c>
      <c r="G23" s="75">
        <f>AVERAGE(E23:E36)</f>
        <v>11.971428571428577</v>
      </c>
      <c r="H23" s="75">
        <f t="shared" si="4"/>
        <v>0.49164677804295936</v>
      </c>
      <c r="I23" s="76">
        <f t="shared" si="5"/>
        <v>32.959999999999994</v>
      </c>
    </row>
    <row r="24" spans="1:9" x14ac:dyDescent="0.25">
      <c r="A24" s="73">
        <v>45698</v>
      </c>
      <c r="B24" s="74">
        <v>476.9</v>
      </c>
      <c r="C24" s="74">
        <f t="shared" si="0"/>
        <v>-7.75</v>
      </c>
      <c r="D24" s="74">
        <f t="shared" si="1"/>
        <v>0</v>
      </c>
      <c r="E24" s="74">
        <f t="shared" si="2"/>
        <v>7.75</v>
      </c>
      <c r="F24" s="75">
        <f t="shared" ref="F24:G24" si="27">AVERAGE(D24:D37)</f>
        <v>6.03571428571429</v>
      </c>
      <c r="G24" s="75">
        <f t="shared" si="27"/>
        <v>11.257142857142863</v>
      </c>
      <c r="H24" s="75">
        <f t="shared" si="4"/>
        <v>0.53616751269035545</v>
      </c>
      <c r="I24" s="76">
        <f t="shared" si="5"/>
        <v>34.902932672449396</v>
      </c>
    </row>
    <row r="25" spans="1:9" x14ac:dyDescent="0.25">
      <c r="A25" s="73">
        <v>45695</v>
      </c>
      <c r="B25" s="74">
        <v>484.65</v>
      </c>
      <c r="C25" s="74">
        <f t="shared" si="0"/>
        <v>-9.5500000000000114</v>
      </c>
      <c r="D25" s="74">
        <f t="shared" si="1"/>
        <v>0</v>
      </c>
      <c r="E25" s="74">
        <f t="shared" si="2"/>
        <v>9.5500000000000114</v>
      </c>
      <c r="F25" s="75">
        <f t="shared" ref="F25:G25" si="28">AVERAGE(D25:D38)</f>
        <v>6.03571428571429</v>
      </c>
      <c r="G25" s="75">
        <f t="shared" si="28"/>
        <v>11.242857142857146</v>
      </c>
      <c r="H25" s="75">
        <f t="shared" si="4"/>
        <v>0.53684879288437126</v>
      </c>
      <c r="I25" s="76">
        <f t="shared" si="5"/>
        <v>34.931789995866069</v>
      </c>
    </row>
    <row r="26" spans="1:9" x14ac:dyDescent="0.25">
      <c r="A26" s="73">
        <v>45694</v>
      </c>
      <c r="B26" s="74">
        <v>494.2</v>
      </c>
      <c r="C26" s="74">
        <f t="shared" si="0"/>
        <v>0.39999999999997726</v>
      </c>
      <c r="D26" s="74">
        <f t="shared" si="1"/>
        <v>0.39999999999997726</v>
      </c>
      <c r="E26" s="74">
        <f t="shared" si="2"/>
        <v>0</v>
      </c>
      <c r="F26" s="75">
        <f t="shared" ref="F26:G26" si="29">AVERAGE(D26:D39)</f>
        <v>6.03571428571429</v>
      </c>
      <c r="G26" s="75">
        <f t="shared" si="29"/>
        <v>12.110714285714291</v>
      </c>
      <c r="H26" s="75">
        <f t="shared" si="4"/>
        <v>0.49837805956944869</v>
      </c>
      <c r="I26" s="76">
        <f t="shared" si="5"/>
        <v>33.261169061208435</v>
      </c>
    </row>
    <row r="27" spans="1:9" x14ac:dyDescent="0.25">
      <c r="A27" s="73">
        <v>45693</v>
      </c>
      <c r="B27" s="74">
        <v>493.8</v>
      </c>
      <c r="C27" s="74">
        <f t="shared" si="0"/>
        <v>24.100000000000023</v>
      </c>
      <c r="D27" s="74">
        <f t="shared" si="1"/>
        <v>24.100000000000023</v>
      </c>
      <c r="E27" s="74">
        <f t="shared" si="2"/>
        <v>0</v>
      </c>
      <c r="F27" s="75">
        <f t="shared" ref="F27:G27" si="30">AVERAGE(D27:D40)</f>
        <v>6.8107142857142913</v>
      </c>
      <c r="G27" s="75">
        <f t="shared" si="30"/>
        <v>12.110714285714291</v>
      </c>
      <c r="H27" s="75">
        <f t="shared" si="4"/>
        <v>0.56237098201120639</v>
      </c>
      <c r="I27" s="76">
        <f t="shared" si="5"/>
        <v>35.994714986787471</v>
      </c>
    </row>
    <row r="28" spans="1:9" x14ac:dyDescent="0.25">
      <c r="A28" s="73">
        <v>45692</v>
      </c>
      <c r="B28" s="74">
        <v>469.7</v>
      </c>
      <c r="C28" s="74">
        <f t="shared" si="0"/>
        <v>24.050000000000011</v>
      </c>
      <c r="D28" s="74">
        <f t="shared" si="1"/>
        <v>24.050000000000011</v>
      </c>
      <c r="E28" s="74">
        <f t="shared" si="2"/>
        <v>0</v>
      </c>
      <c r="F28" s="75">
        <f t="shared" ref="F28:G28" si="31">AVERAGE(D28:D41)</f>
        <v>5.089285714285718</v>
      </c>
      <c r="G28" s="75">
        <f t="shared" si="31"/>
        <v>12.285714285714294</v>
      </c>
      <c r="H28" s="75">
        <f t="shared" si="4"/>
        <v>0.41424418604651164</v>
      </c>
      <c r="I28" s="76">
        <f t="shared" si="5"/>
        <v>29.290853031860223</v>
      </c>
    </row>
    <row r="29" spans="1:9" x14ac:dyDescent="0.25">
      <c r="A29" s="73">
        <v>45691</v>
      </c>
      <c r="B29" s="74">
        <v>445.65</v>
      </c>
      <c r="C29" s="74">
        <f t="shared" si="0"/>
        <v>-26.350000000000023</v>
      </c>
      <c r="D29" s="74">
        <f t="shared" si="1"/>
        <v>0</v>
      </c>
      <c r="E29" s="74">
        <f t="shared" si="2"/>
        <v>26.350000000000023</v>
      </c>
      <c r="F29" s="75">
        <f t="shared" ref="F29:G29" si="32">AVERAGE(D29:D42)</f>
        <v>4.0107142857142923</v>
      </c>
      <c r="G29" s="75">
        <f t="shared" si="32"/>
        <v>12.285714285714294</v>
      </c>
      <c r="H29" s="75">
        <f t="shared" si="4"/>
        <v>0.32645348837209337</v>
      </c>
      <c r="I29" s="76">
        <f t="shared" si="5"/>
        <v>24.611001534078468</v>
      </c>
    </row>
    <row r="30" spans="1:9" x14ac:dyDescent="0.25">
      <c r="A30" s="73">
        <v>45689</v>
      </c>
      <c r="B30" s="74">
        <v>472</v>
      </c>
      <c r="C30" s="74">
        <f t="shared" si="0"/>
        <v>-36.600000000000023</v>
      </c>
      <c r="D30" s="74">
        <f t="shared" si="1"/>
        <v>0</v>
      </c>
      <c r="E30" s="74">
        <f t="shared" si="2"/>
        <v>36.600000000000023</v>
      </c>
      <c r="F30" s="75">
        <f t="shared" ref="F30:G30" si="33">AVERAGE(D30:D43)</f>
        <v>4.9857142857142902</v>
      </c>
      <c r="G30" s="75">
        <f t="shared" si="33"/>
        <v>10.403571428571436</v>
      </c>
      <c r="H30" s="75">
        <f t="shared" si="4"/>
        <v>0.47923103329900457</v>
      </c>
      <c r="I30" s="76">
        <f t="shared" si="5"/>
        <v>32.397307960083552</v>
      </c>
    </row>
    <row r="31" spans="1:9" x14ac:dyDescent="0.25">
      <c r="A31" s="73">
        <v>45688</v>
      </c>
      <c r="B31" s="74">
        <v>508.6</v>
      </c>
      <c r="C31" s="74">
        <f t="shared" si="0"/>
        <v>24.75</v>
      </c>
      <c r="D31" s="74">
        <f t="shared" si="1"/>
        <v>24.75</v>
      </c>
      <c r="E31" s="74">
        <f t="shared" si="2"/>
        <v>0</v>
      </c>
      <c r="F31" s="75">
        <f t="shared" ref="F31:G31" si="34">AVERAGE(D31:D44)</f>
        <v>7.1357142857142923</v>
      </c>
      <c r="G31" s="75">
        <f t="shared" si="34"/>
        <v>7.789285714285719</v>
      </c>
      <c r="H31" s="75">
        <f t="shared" si="4"/>
        <v>0.91609353507565361</v>
      </c>
      <c r="I31" s="76">
        <f t="shared" si="5"/>
        <v>47.810480976310131</v>
      </c>
    </row>
    <row r="32" spans="1:9" x14ac:dyDescent="0.25">
      <c r="A32" s="73">
        <v>45687</v>
      </c>
      <c r="B32" s="74">
        <v>483.85</v>
      </c>
      <c r="C32" s="74">
        <f t="shared" si="0"/>
        <v>9.1000000000000227</v>
      </c>
      <c r="D32" s="74">
        <f t="shared" si="1"/>
        <v>9.1000000000000227</v>
      </c>
      <c r="E32" s="74">
        <f t="shared" si="2"/>
        <v>0</v>
      </c>
      <c r="F32" s="75">
        <f t="shared" ref="F32:G32" si="35">AVERAGE(D32:D45)</f>
        <v>5.3678571428571491</v>
      </c>
      <c r="G32" s="75">
        <f t="shared" si="35"/>
        <v>9.3500000000000068</v>
      </c>
      <c r="H32" s="75">
        <f t="shared" si="4"/>
        <v>0.57410236822001548</v>
      </c>
      <c r="I32" s="76">
        <f t="shared" si="5"/>
        <v>36.471730162581906</v>
      </c>
    </row>
    <row r="33" spans="1:9" x14ac:dyDescent="0.25">
      <c r="A33" s="73">
        <v>45686</v>
      </c>
      <c r="B33" s="74">
        <v>474.75</v>
      </c>
      <c r="C33" s="74">
        <f t="shared" si="0"/>
        <v>-29.25</v>
      </c>
      <c r="D33" s="74">
        <f t="shared" si="1"/>
        <v>0</v>
      </c>
      <c r="E33" s="74">
        <f t="shared" si="2"/>
        <v>29.25</v>
      </c>
      <c r="F33" s="75">
        <f t="shared" ref="F33:G33" si="36">AVERAGE(D33:D46)</f>
        <v>4.7178571428571479</v>
      </c>
      <c r="G33" s="75">
        <f t="shared" si="36"/>
        <v>10.639285714285718</v>
      </c>
      <c r="H33" s="75">
        <f t="shared" si="4"/>
        <v>0.44343739509902685</v>
      </c>
      <c r="I33" s="76">
        <f t="shared" si="5"/>
        <v>30.72093023255816</v>
      </c>
    </row>
    <row r="34" spans="1:9" x14ac:dyDescent="0.25">
      <c r="A34" s="73">
        <v>45685</v>
      </c>
      <c r="B34" s="74">
        <v>504</v>
      </c>
      <c r="C34" s="74">
        <f t="shared" si="0"/>
        <v>-30.350000000000023</v>
      </c>
      <c r="D34" s="74">
        <f t="shared" si="1"/>
        <v>0</v>
      </c>
      <c r="E34" s="74">
        <f t="shared" si="2"/>
        <v>30.350000000000023</v>
      </c>
      <c r="F34" s="75">
        <f t="shared" ref="F34:G34" si="37">AVERAGE(D34:D47)</f>
        <v>4.7178571428571479</v>
      </c>
      <c r="G34" s="75">
        <f t="shared" si="37"/>
        <v>10.100000000000007</v>
      </c>
      <c r="H34" s="75">
        <f t="shared" si="4"/>
        <v>0.46711456859971728</v>
      </c>
      <c r="I34" s="76">
        <f t="shared" si="5"/>
        <v>31.838997348758753</v>
      </c>
    </row>
    <row r="35" spans="1:9" x14ac:dyDescent="0.25">
      <c r="A35" s="73">
        <v>45684</v>
      </c>
      <c r="B35" s="74">
        <v>534.35</v>
      </c>
      <c r="C35" s="74">
        <f t="shared" si="0"/>
        <v>-9.7999999999999545</v>
      </c>
      <c r="D35" s="74">
        <f t="shared" si="1"/>
        <v>0</v>
      </c>
      <c r="E35" s="74">
        <f t="shared" si="2"/>
        <v>9.7999999999999545</v>
      </c>
      <c r="F35" s="75">
        <f t="shared" ref="F35:G35" si="38">AVERAGE(D35:D48)</f>
        <v>4.7178571428571479</v>
      </c>
      <c r="G35" s="75">
        <f t="shared" si="38"/>
        <v>9.0964285714285733</v>
      </c>
      <c r="H35" s="75">
        <f t="shared" si="4"/>
        <v>0.51864939144091127</v>
      </c>
      <c r="I35" s="76">
        <f t="shared" si="5"/>
        <v>34.152016546018629</v>
      </c>
    </row>
    <row r="36" spans="1:9" x14ac:dyDescent="0.25">
      <c r="A36" s="73">
        <v>45681</v>
      </c>
      <c r="B36" s="74">
        <v>544.15</v>
      </c>
      <c r="C36" s="74">
        <f t="shared" si="0"/>
        <v>-7.9500000000000455</v>
      </c>
      <c r="D36" s="74">
        <f t="shared" si="1"/>
        <v>0</v>
      </c>
      <c r="E36" s="74">
        <f t="shared" si="2"/>
        <v>7.9500000000000455</v>
      </c>
      <c r="F36" s="75">
        <f t="shared" ref="F36:G36" si="39">AVERAGE(D36:D49)</f>
        <v>4.7178571428571479</v>
      </c>
      <c r="G36" s="75">
        <f t="shared" si="39"/>
        <v>8.8178571428571466</v>
      </c>
      <c r="H36" s="75">
        <f t="shared" si="4"/>
        <v>0.53503442689347946</v>
      </c>
      <c r="I36" s="76">
        <f t="shared" si="5"/>
        <v>34.854881266490779</v>
      </c>
    </row>
    <row r="37" spans="1:9" x14ac:dyDescent="0.25">
      <c r="A37" s="73">
        <v>45680</v>
      </c>
      <c r="B37" s="74">
        <v>552.1</v>
      </c>
      <c r="C37" s="74">
        <f t="shared" si="0"/>
        <v>2.1000000000000227</v>
      </c>
      <c r="D37" s="74">
        <f t="shared" si="1"/>
        <v>2.1000000000000227</v>
      </c>
      <c r="E37" s="74">
        <f t="shared" si="2"/>
        <v>0</v>
      </c>
      <c r="F37" s="75">
        <f t="shared" ref="F37:G37" si="40">AVERAGE(D37:D50)</f>
        <v>4.7178571428571479</v>
      </c>
      <c r="G37" s="75">
        <f t="shared" si="40"/>
        <v>10.596428571428573</v>
      </c>
      <c r="H37" s="75">
        <f t="shared" si="4"/>
        <v>0.44523087293562558</v>
      </c>
      <c r="I37" s="76">
        <f t="shared" si="5"/>
        <v>30.806902985074643</v>
      </c>
    </row>
    <row r="38" spans="1:9" x14ac:dyDescent="0.25">
      <c r="A38" s="73">
        <v>45679</v>
      </c>
      <c r="B38" s="74">
        <v>550</v>
      </c>
      <c r="C38" s="74">
        <f t="shared" si="0"/>
        <v>-7.5499999999999545</v>
      </c>
      <c r="D38" s="74">
        <f t="shared" si="1"/>
        <v>0</v>
      </c>
      <c r="E38" s="74">
        <f t="shared" si="2"/>
        <v>7.5499999999999545</v>
      </c>
      <c r="F38" s="75">
        <f t="shared" ref="F38:G38" si="41">AVERAGE(D38:D51)</f>
        <v>4.5678571428571457</v>
      </c>
      <c r="G38" s="75">
        <f t="shared" si="41"/>
        <v>11.067857142857147</v>
      </c>
      <c r="H38" s="75">
        <f t="shared" si="4"/>
        <v>0.41271377863827052</v>
      </c>
      <c r="I38" s="76">
        <f t="shared" si="5"/>
        <v>29.214253083599814</v>
      </c>
    </row>
    <row r="39" spans="1:9" x14ac:dyDescent="0.25">
      <c r="A39" s="73">
        <v>45678</v>
      </c>
      <c r="B39" s="74">
        <v>557.54999999999995</v>
      </c>
      <c r="C39" s="74">
        <f t="shared" si="0"/>
        <v>-21.700000000000045</v>
      </c>
      <c r="D39" s="74">
        <f t="shared" si="1"/>
        <v>0</v>
      </c>
      <c r="E39" s="74">
        <f t="shared" si="2"/>
        <v>21.700000000000045</v>
      </c>
      <c r="F39" s="75">
        <f t="shared" ref="F39:G39" si="42">AVERAGE(D39:D52)</f>
        <v>4.5678571428571457</v>
      </c>
      <c r="G39" s="75">
        <f t="shared" si="42"/>
        <v>10.764285714285718</v>
      </c>
      <c r="H39" s="75">
        <f t="shared" si="4"/>
        <v>0.42435301924353031</v>
      </c>
      <c r="I39" s="76">
        <f t="shared" si="5"/>
        <v>29.792685767528539</v>
      </c>
    </row>
    <row r="40" spans="1:9" x14ac:dyDescent="0.25">
      <c r="A40" s="73">
        <v>45677</v>
      </c>
      <c r="B40" s="74">
        <v>579.25</v>
      </c>
      <c r="C40" s="74">
        <f t="shared" si="0"/>
        <v>11.25</v>
      </c>
      <c r="D40" s="74">
        <f t="shared" si="1"/>
        <v>11.25</v>
      </c>
      <c r="E40" s="74">
        <f t="shared" si="2"/>
        <v>0</v>
      </c>
      <c r="F40" s="75">
        <f t="shared" ref="F40:G40" si="43">AVERAGE(D40:D53)</f>
        <v>4.6857142857142877</v>
      </c>
      <c r="G40" s="75">
        <f t="shared" si="43"/>
        <v>9.2142857142857135</v>
      </c>
      <c r="H40" s="75">
        <f t="shared" si="4"/>
        <v>0.50852713178294595</v>
      </c>
      <c r="I40" s="76">
        <f t="shared" si="5"/>
        <v>33.710174717368972</v>
      </c>
    </row>
    <row r="41" spans="1:9" x14ac:dyDescent="0.25">
      <c r="A41" s="73">
        <v>45674</v>
      </c>
      <c r="B41" s="74">
        <v>568</v>
      </c>
      <c r="C41" s="74">
        <f t="shared" si="0"/>
        <v>-2.4500000000000455</v>
      </c>
      <c r="D41" s="74">
        <f t="shared" si="1"/>
        <v>0</v>
      </c>
      <c r="E41" s="74">
        <f t="shared" si="2"/>
        <v>2.4500000000000455</v>
      </c>
      <c r="F41" s="75">
        <f t="shared" ref="F41:G41" si="44">AVERAGE(D41:D54)</f>
        <v>3.8821428571428589</v>
      </c>
      <c r="G41" s="75">
        <f t="shared" si="44"/>
        <v>9.2750000000000021</v>
      </c>
      <c r="H41" s="75">
        <f t="shared" si="4"/>
        <v>0.41855987678090112</v>
      </c>
      <c r="I41" s="76">
        <f t="shared" si="5"/>
        <v>29.505971769815417</v>
      </c>
    </row>
    <row r="42" spans="1:9" x14ac:dyDescent="0.25">
      <c r="A42" s="73">
        <v>45673</v>
      </c>
      <c r="B42" s="74">
        <v>570.45000000000005</v>
      </c>
      <c r="C42" s="74">
        <f t="shared" si="0"/>
        <v>8.9500000000000455</v>
      </c>
      <c r="D42" s="74">
        <f t="shared" si="1"/>
        <v>8.9500000000000455</v>
      </c>
      <c r="E42" s="74">
        <f t="shared" si="2"/>
        <v>0</v>
      </c>
      <c r="F42" s="75">
        <f t="shared" ref="F42:G42" si="45">AVERAGE(D42:D55)</f>
        <v>5.1464285714285767</v>
      </c>
      <c r="G42" s="75">
        <f t="shared" si="45"/>
        <v>9.0999999999999979</v>
      </c>
      <c r="H42" s="75">
        <f t="shared" si="4"/>
        <v>0.5655416012558877</v>
      </c>
      <c r="I42" s="76">
        <f t="shared" si="5"/>
        <v>36.12434194033596</v>
      </c>
    </row>
    <row r="43" spans="1:9" x14ac:dyDescent="0.25">
      <c r="A43" s="73">
        <v>45672</v>
      </c>
      <c r="B43" s="74">
        <v>561.5</v>
      </c>
      <c r="C43" s="74">
        <f t="shared" si="0"/>
        <v>13.649999999999977</v>
      </c>
      <c r="D43" s="74">
        <f t="shared" si="1"/>
        <v>13.649999999999977</v>
      </c>
      <c r="E43" s="74">
        <f t="shared" si="2"/>
        <v>0</v>
      </c>
      <c r="F43" s="75">
        <f t="shared" ref="F43:G43" si="46">AVERAGE(D43:D56)</f>
        <v>4.5071428571428589</v>
      </c>
      <c r="G43" s="75">
        <f t="shared" si="46"/>
        <v>9.8642857142857157</v>
      </c>
      <c r="H43" s="75">
        <f t="shared" si="4"/>
        <v>0.45691527878349036</v>
      </c>
      <c r="I43" s="76">
        <f t="shared" si="5"/>
        <v>31.361829025844941</v>
      </c>
    </row>
    <row r="44" spans="1:9" x14ac:dyDescent="0.25">
      <c r="A44" s="73">
        <v>45671</v>
      </c>
      <c r="B44" s="74">
        <v>547.85</v>
      </c>
      <c r="C44" s="74">
        <f t="shared" si="0"/>
        <v>30.100000000000023</v>
      </c>
      <c r="D44" s="74">
        <f t="shared" si="1"/>
        <v>30.100000000000023</v>
      </c>
      <c r="E44" s="74">
        <f t="shared" si="2"/>
        <v>0</v>
      </c>
      <c r="F44" s="75">
        <f t="shared" ref="F44:G44" si="47">AVERAGE(D44:D57)</f>
        <v>3.5321428571428606</v>
      </c>
      <c r="G44" s="75">
        <f t="shared" si="47"/>
        <v>10.689285714285713</v>
      </c>
      <c r="H44" s="75">
        <f t="shared" si="4"/>
        <v>0.33043768793852357</v>
      </c>
      <c r="I44" s="76">
        <f t="shared" si="5"/>
        <v>24.836765444500273</v>
      </c>
    </row>
    <row r="45" spans="1:9" x14ac:dyDescent="0.25">
      <c r="A45" s="73">
        <v>45670</v>
      </c>
      <c r="B45" s="74">
        <v>517.75</v>
      </c>
      <c r="C45" s="74">
        <f t="shared" si="0"/>
        <v>-21.850000000000023</v>
      </c>
      <c r="D45" s="74">
        <f t="shared" si="1"/>
        <v>0</v>
      </c>
      <c r="E45" s="74">
        <f t="shared" si="2"/>
        <v>21.850000000000023</v>
      </c>
      <c r="F45" s="75">
        <f t="shared" ref="F45:G45" si="48">AVERAGE(D45:D58)</f>
        <v>1.3821428571428587</v>
      </c>
      <c r="G45" s="75">
        <f t="shared" si="48"/>
        <v>11.521428571428576</v>
      </c>
      <c r="H45" s="75">
        <f t="shared" si="4"/>
        <v>0.11996280223186617</v>
      </c>
      <c r="I45" s="76">
        <f t="shared" si="5"/>
        <v>10.711320232493776</v>
      </c>
    </row>
    <row r="46" spans="1:9" x14ac:dyDescent="0.25">
      <c r="A46" s="73">
        <v>45667</v>
      </c>
      <c r="B46" s="74">
        <v>539.6</v>
      </c>
      <c r="C46" s="74">
        <f t="shared" si="0"/>
        <v>-18.049999999999955</v>
      </c>
      <c r="D46" s="74">
        <f t="shared" si="1"/>
        <v>0</v>
      </c>
      <c r="E46" s="74">
        <f t="shared" si="2"/>
        <v>18.049999999999955</v>
      </c>
      <c r="F46" s="75">
        <f t="shared" ref="F46:G46" si="49">AVERAGE(D46:D59)</f>
        <v>1.3821428571428587</v>
      </c>
      <c r="G46" s="75">
        <f t="shared" si="49"/>
        <v>10.682142857142853</v>
      </c>
      <c r="H46" s="75">
        <f t="shared" si="4"/>
        <v>0.12938816449348062</v>
      </c>
      <c r="I46" s="76">
        <f t="shared" si="5"/>
        <v>11.456483126110143</v>
      </c>
    </row>
    <row r="47" spans="1:9" x14ac:dyDescent="0.25">
      <c r="A47" s="73">
        <v>45666</v>
      </c>
      <c r="B47" s="74">
        <v>557.65</v>
      </c>
      <c r="C47" s="74">
        <f t="shared" si="0"/>
        <v>-21.700000000000045</v>
      </c>
      <c r="D47" s="74">
        <f t="shared" si="1"/>
        <v>0</v>
      </c>
      <c r="E47" s="74">
        <f t="shared" si="2"/>
        <v>21.700000000000045</v>
      </c>
      <c r="F47" s="75">
        <f t="shared" ref="F47:G47" si="50">AVERAGE(D47:D60)</f>
        <v>1.3821428571428587</v>
      </c>
      <c r="G47" s="75">
        <f t="shared" si="50"/>
        <v>10.478571428571431</v>
      </c>
      <c r="H47" s="75">
        <f t="shared" si="4"/>
        <v>0.13190184049079764</v>
      </c>
      <c r="I47" s="76">
        <f t="shared" si="5"/>
        <v>11.653116531165324</v>
      </c>
    </row>
    <row r="48" spans="1:9" x14ac:dyDescent="0.25">
      <c r="A48" s="73">
        <v>45665</v>
      </c>
      <c r="B48" s="74">
        <v>579.35</v>
      </c>
      <c r="C48" s="74">
        <f t="shared" si="0"/>
        <v>-16.299999999999955</v>
      </c>
      <c r="D48" s="74">
        <f t="shared" si="1"/>
        <v>0</v>
      </c>
      <c r="E48" s="74">
        <f t="shared" si="2"/>
        <v>16.299999999999955</v>
      </c>
      <c r="F48" s="75">
        <f t="shared" ref="F48:G48" si="51">AVERAGE(D48:D61)</f>
        <v>1.5928571428571476</v>
      </c>
      <c r="G48" s="75">
        <f t="shared" si="51"/>
        <v>8.9285714285714288</v>
      </c>
      <c r="H48" s="75">
        <f t="shared" si="4"/>
        <v>0.17840000000000053</v>
      </c>
      <c r="I48" s="76">
        <f t="shared" si="5"/>
        <v>15.139171758316408</v>
      </c>
    </row>
    <row r="49" spans="1:9" x14ac:dyDescent="0.25">
      <c r="A49" s="73">
        <v>45664</v>
      </c>
      <c r="B49" s="74">
        <v>595.65</v>
      </c>
      <c r="C49" s="74">
        <f t="shared" si="0"/>
        <v>-5.8999999999999773</v>
      </c>
      <c r="D49" s="74">
        <f t="shared" si="1"/>
        <v>0</v>
      </c>
      <c r="E49" s="74">
        <f t="shared" si="2"/>
        <v>5.8999999999999773</v>
      </c>
      <c r="F49" s="75">
        <f t="shared" ref="F49:G49" si="52">AVERAGE(D49:D62)</f>
        <v>1.5928571428571476</v>
      </c>
      <c r="G49" s="75">
        <f t="shared" si="52"/>
        <v>7.9857142857142902</v>
      </c>
      <c r="H49" s="75">
        <f t="shared" si="4"/>
        <v>0.19946332737030459</v>
      </c>
      <c r="I49" s="76">
        <f t="shared" si="5"/>
        <v>16.629381058911292</v>
      </c>
    </row>
    <row r="50" spans="1:9" x14ac:dyDescent="0.25">
      <c r="A50" s="73">
        <v>45663</v>
      </c>
      <c r="B50" s="74">
        <v>601.54999999999995</v>
      </c>
      <c r="C50" s="74">
        <f t="shared" si="0"/>
        <v>-32.850000000000023</v>
      </c>
      <c r="D50" s="74">
        <f t="shared" si="1"/>
        <v>0</v>
      </c>
      <c r="E50" s="74">
        <f t="shared" si="2"/>
        <v>32.850000000000023</v>
      </c>
      <c r="F50" s="75">
        <f t="shared" ref="F50:G50" si="53">AVERAGE(D50:D63)</f>
        <v>1.5928571428571476</v>
      </c>
      <c r="G50" s="75">
        <f t="shared" si="53"/>
        <v>7.835714285714297</v>
      </c>
      <c r="H50" s="75">
        <f t="shared" si="4"/>
        <v>0.20328167730173233</v>
      </c>
      <c r="I50" s="76">
        <f t="shared" si="5"/>
        <v>16.893939393939419</v>
      </c>
    </row>
    <row r="51" spans="1:9" x14ac:dyDescent="0.25">
      <c r="A51" s="73">
        <v>45660</v>
      </c>
      <c r="B51" s="74">
        <v>634.4</v>
      </c>
      <c r="C51" s="74">
        <f t="shared" si="0"/>
        <v>-6.6000000000000227</v>
      </c>
      <c r="D51" s="74">
        <f t="shared" si="1"/>
        <v>0</v>
      </c>
      <c r="E51" s="74">
        <f t="shared" si="2"/>
        <v>6.6000000000000227</v>
      </c>
      <c r="F51" s="75">
        <f t="shared" ref="F51:G51" si="54">AVERAGE(D51:D64)</f>
        <v>2.3321428571428635</v>
      </c>
      <c r="G51" s="75">
        <f t="shared" si="54"/>
        <v>5.4892857142857236</v>
      </c>
      <c r="H51" s="75">
        <f t="shared" si="4"/>
        <v>0.42485361093038432</v>
      </c>
      <c r="I51" s="76">
        <f t="shared" si="5"/>
        <v>29.817351598173531</v>
      </c>
    </row>
    <row r="52" spans="1:9" x14ac:dyDescent="0.25">
      <c r="A52" s="73">
        <v>45659</v>
      </c>
      <c r="B52" s="74">
        <v>641</v>
      </c>
      <c r="C52" s="74">
        <f t="shared" si="0"/>
        <v>-3.2999999999999545</v>
      </c>
      <c r="D52" s="74">
        <f t="shared" si="1"/>
        <v>0</v>
      </c>
      <c r="E52" s="74">
        <f t="shared" si="2"/>
        <v>3.2999999999999545</v>
      </c>
      <c r="F52" s="75">
        <f t="shared" ref="F52:G52" si="55">AVERAGE(D52:D65)</f>
        <v>2.3321428571428635</v>
      </c>
      <c r="G52" s="75">
        <f t="shared" si="55"/>
        <v>5.4928571428571491</v>
      </c>
      <c r="H52" s="75">
        <f t="shared" si="4"/>
        <v>0.42457737321196426</v>
      </c>
      <c r="I52" s="76">
        <f t="shared" si="5"/>
        <v>29.803742583295332</v>
      </c>
    </row>
    <row r="53" spans="1:9" x14ac:dyDescent="0.25">
      <c r="A53" s="73">
        <v>45658</v>
      </c>
      <c r="B53" s="74">
        <v>644.29999999999995</v>
      </c>
      <c r="C53" s="74">
        <f t="shared" si="0"/>
        <v>1.6499999999999773</v>
      </c>
      <c r="D53" s="74">
        <f t="shared" si="1"/>
        <v>1.6499999999999773</v>
      </c>
      <c r="E53" s="74">
        <f t="shared" si="2"/>
        <v>0</v>
      </c>
      <c r="F53" s="75">
        <f t="shared" ref="F53:G53" si="56">AVERAGE(D53:D66)</f>
        <v>2.8785714285714334</v>
      </c>
      <c r="G53" s="75">
        <f t="shared" si="56"/>
        <v>5.2571428571428669</v>
      </c>
      <c r="H53" s="75">
        <f t="shared" si="4"/>
        <v>0.54755434782608692</v>
      </c>
      <c r="I53" s="76">
        <f t="shared" si="5"/>
        <v>35.381913959613698</v>
      </c>
    </row>
    <row r="54" spans="1:9" x14ac:dyDescent="0.25">
      <c r="A54" s="73">
        <v>45657</v>
      </c>
      <c r="B54" s="74">
        <v>642.65</v>
      </c>
      <c r="C54" s="74">
        <f t="shared" si="0"/>
        <v>-0.85000000000002274</v>
      </c>
      <c r="D54" s="74">
        <f t="shared" si="1"/>
        <v>0</v>
      </c>
      <c r="E54" s="74">
        <f t="shared" si="2"/>
        <v>0.85000000000002274</v>
      </c>
      <c r="F54" s="75">
        <f t="shared" ref="F54:G54" si="57">AVERAGE(D54:D67)</f>
        <v>3.4464285714285796</v>
      </c>
      <c r="G54" s="75">
        <f t="shared" si="57"/>
        <v>5.2571428571428669</v>
      </c>
      <c r="H54" s="75">
        <f t="shared" si="4"/>
        <v>0.65557065217391342</v>
      </c>
      <c r="I54" s="76">
        <f t="shared" si="5"/>
        <v>39.597866228970062</v>
      </c>
    </row>
    <row r="55" spans="1:9" x14ac:dyDescent="0.25">
      <c r="A55" s="73">
        <v>45656</v>
      </c>
      <c r="B55" s="74">
        <v>643.5</v>
      </c>
      <c r="C55" s="74">
        <f t="shared" si="0"/>
        <v>17.700000000000045</v>
      </c>
      <c r="D55" s="74">
        <f t="shared" si="1"/>
        <v>17.700000000000045</v>
      </c>
      <c r="E55" s="74">
        <f t="shared" si="2"/>
        <v>0</v>
      </c>
      <c r="F55" s="75">
        <f t="shared" ref="F55:G55" si="58">AVERAGE(D55:D68)</f>
        <v>3.4464285714285796</v>
      </c>
      <c r="G55" s="75">
        <f t="shared" si="58"/>
        <v>5.710714285714297</v>
      </c>
      <c r="H55" s="75">
        <f t="shared" si="4"/>
        <v>0.60350218886804274</v>
      </c>
      <c r="I55" s="76">
        <f t="shared" si="5"/>
        <v>37.636505460218416</v>
      </c>
    </row>
    <row r="56" spans="1:9" x14ac:dyDescent="0.25">
      <c r="A56" s="73">
        <v>45653</v>
      </c>
      <c r="B56" s="74">
        <v>625.79999999999995</v>
      </c>
      <c r="C56" s="74">
        <f t="shared" si="0"/>
        <v>-10.700000000000045</v>
      </c>
      <c r="D56" s="74">
        <f t="shared" si="1"/>
        <v>0</v>
      </c>
      <c r="E56" s="74">
        <f t="shared" si="2"/>
        <v>10.700000000000045</v>
      </c>
      <c r="F56" s="75">
        <f t="shared" ref="F56:G56" si="59">AVERAGE(D56:D69)</f>
        <v>2.2428571428571495</v>
      </c>
      <c r="G56" s="75">
        <f t="shared" si="59"/>
        <v>5.710714285714297</v>
      </c>
      <c r="H56" s="75">
        <f t="shared" si="4"/>
        <v>0.39274546591619802</v>
      </c>
      <c r="I56" s="76">
        <f t="shared" si="5"/>
        <v>28.199371351594095</v>
      </c>
    </row>
    <row r="57" spans="1:9" x14ac:dyDescent="0.25">
      <c r="A57" s="73">
        <v>45652</v>
      </c>
      <c r="B57" s="74">
        <v>636.5</v>
      </c>
      <c r="C57" s="74">
        <f t="shared" si="0"/>
        <v>-11.549999999999955</v>
      </c>
      <c r="D57" s="74">
        <f t="shared" si="1"/>
        <v>0</v>
      </c>
      <c r="E57" s="74">
        <f t="shared" si="2"/>
        <v>11.549999999999955</v>
      </c>
      <c r="F57" s="75">
        <f t="shared" ref="F57:G57" si="60">AVERAGE(D57:D70)</f>
        <v>2.9714285714285813</v>
      </c>
      <c r="G57" s="75">
        <f t="shared" si="60"/>
        <v>4.9464285714285792</v>
      </c>
      <c r="H57" s="75">
        <f t="shared" si="4"/>
        <v>0.60072202166065092</v>
      </c>
      <c r="I57" s="76">
        <f t="shared" si="5"/>
        <v>37.528191249436212</v>
      </c>
    </row>
    <row r="58" spans="1:9" x14ac:dyDescent="0.25">
      <c r="A58" s="73">
        <v>45650</v>
      </c>
      <c r="B58" s="74">
        <v>648.04999999999995</v>
      </c>
      <c r="C58" s="74">
        <f t="shared" si="0"/>
        <v>-11.650000000000091</v>
      </c>
      <c r="D58" s="74">
        <f t="shared" si="1"/>
        <v>0</v>
      </c>
      <c r="E58" s="74">
        <f t="shared" si="2"/>
        <v>11.650000000000091</v>
      </c>
      <c r="F58" s="75">
        <f t="shared" ref="F58:G58" si="61">AVERAGE(D58:D71)</f>
        <v>4.0964285714285813</v>
      </c>
      <c r="G58" s="75">
        <f t="shared" si="61"/>
        <v>4.1214285714285825</v>
      </c>
      <c r="H58" s="75">
        <f t="shared" si="4"/>
        <v>0.99393414211438447</v>
      </c>
      <c r="I58" s="76">
        <f t="shared" si="5"/>
        <v>49.847892220773574</v>
      </c>
    </row>
    <row r="59" spans="1:9" x14ac:dyDescent="0.25">
      <c r="A59" s="73">
        <v>45649</v>
      </c>
      <c r="B59" s="74">
        <v>659.7</v>
      </c>
      <c r="C59" s="74">
        <f t="shared" si="0"/>
        <v>-10.099999999999909</v>
      </c>
      <c r="D59" s="74">
        <f t="shared" si="1"/>
        <v>0</v>
      </c>
      <c r="E59" s="74">
        <f t="shared" si="2"/>
        <v>10.099999999999909</v>
      </c>
      <c r="F59" s="75">
        <f t="shared" ref="F59:G59" si="62">AVERAGE(D59:D72)</f>
        <v>4.4857142857142902</v>
      </c>
      <c r="G59" s="75">
        <f t="shared" si="62"/>
        <v>3.289285714285719</v>
      </c>
      <c r="H59" s="75">
        <f t="shared" si="4"/>
        <v>1.363735070575461</v>
      </c>
      <c r="I59" s="76">
        <f t="shared" si="5"/>
        <v>57.694074414331645</v>
      </c>
    </row>
    <row r="60" spans="1:9" x14ac:dyDescent="0.25">
      <c r="A60" s="73">
        <v>45646</v>
      </c>
      <c r="B60" s="74">
        <v>669.8</v>
      </c>
      <c r="C60" s="74">
        <f t="shared" si="0"/>
        <v>-15.200000000000045</v>
      </c>
      <c r="D60" s="74">
        <f t="shared" si="1"/>
        <v>0</v>
      </c>
      <c r="E60" s="74">
        <f t="shared" si="2"/>
        <v>15.200000000000045</v>
      </c>
      <c r="F60" s="75">
        <f t="shared" ref="F60:G60" si="63">AVERAGE(D60:D73)</f>
        <v>4.4857142857142902</v>
      </c>
      <c r="G60" s="75">
        <f t="shared" si="63"/>
        <v>2.7607142857142923</v>
      </c>
      <c r="H60" s="75">
        <f t="shared" si="4"/>
        <v>1.6248382923673974</v>
      </c>
      <c r="I60" s="76">
        <f t="shared" si="5"/>
        <v>61.902414982750088</v>
      </c>
    </row>
    <row r="61" spans="1:9" x14ac:dyDescent="0.25">
      <c r="A61" s="73">
        <v>45645</v>
      </c>
      <c r="B61" s="74">
        <v>685</v>
      </c>
      <c r="C61" s="74">
        <f t="shared" si="0"/>
        <v>2.9500000000000455</v>
      </c>
      <c r="D61" s="74">
        <f t="shared" si="1"/>
        <v>2.9500000000000455</v>
      </c>
      <c r="E61" s="74">
        <f t="shared" si="2"/>
        <v>0</v>
      </c>
      <c r="F61" s="75">
        <f t="shared" ref="F61:G61" si="64">AVERAGE(D61:D74)</f>
        <v>4.4857142857142902</v>
      </c>
      <c r="G61" s="75">
        <f t="shared" si="64"/>
        <v>2.3178571428571462</v>
      </c>
      <c r="H61" s="75">
        <f t="shared" si="4"/>
        <v>1.9352850539291209</v>
      </c>
      <c r="I61" s="76">
        <f t="shared" si="5"/>
        <v>65.931758530183714</v>
      </c>
    </row>
    <row r="62" spans="1:9" x14ac:dyDescent="0.25">
      <c r="A62" s="73">
        <v>45644</v>
      </c>
      <c r="B62" s="74">
        <v>682.05</v>
      </c>
      <c r="C62" s="74">
        <f t="shared" si="0"/>
        <v>-3.1000000000000227</v>
      </c>
      <c r="D62" s="74">
        <f t="shared" si="1"/>
        <v>0</v>
      </c>
      <c r="E62" s="74">
        <f t="shared" si="2"/>
        <v>3.1000000000000227</v>
      </c>
      <c r="F62" s="75">
        <f t="shared" ref="F62:G62" si="65">AVERAGE(D62:D75)</f>
        <v>4.2750000000000012</v>
      </c>
      <c r="G62" s="75">
        <f t="shared" si="65"/>
        <v>2.9000000000000017</v>
      </c>
      <c r="H62" s="75">
        <f t="shared" si="4"/>
        <v>1.4741379310344824</v>
      </c>
      <c r="I62" s="76">
        <f t="shared" si="5"/>
        <v>59.581881533101033</v>
      </c>
    </row>
    <row r="63" spans="1:9" x14ac:dyDescent="0.25">
      <c r="A63" s="73">
        <v>45643</v>
      </c>
      <c r="B63" s="74">
        <v>685.15</v>
      </c>
      <c r="C63" s="74">
        <f t="shared" si="0"/>
        <v>-3.8000000000000682</v>
      </c>
      <c r="D63" s="74">
        <f t="shared" si="1"/>
        <v>0</v>
      </c>
      <c r="E63" s="74">
        <f t="shared" si="2"/>
        <v>3.8000000000000682</v>
      </c>
      <c r="F63" s="75">
        <f t="shared" ref="F63:G63" si="66">AVERAGE(D63:D76)</f>
        <v>4.2750000000000012</v>
      </c>
      <c r="G63" s="75">
        <f t="shared" si="66"/>
        <v>3.4285714285714284</v>
      </c>
      <c r="H63" s="75">
        <f t="shared" si="4"/>
        <v>1.2468750000000004</v>
      </c>
      <c r="I63" s="76">
        <f t="shared" si="5"/>
        <v>55.493741307371351</v>
      </c>
    </row>
    <row r="64" spans="1:9" x14ac:dyDescent="0.25">
      <c r="A64" s="73">
        <v>45642</v>
      </c>
      <c r="B64" s="74">
        <v>688.95</v>
      </c>
      <c r="C64" s="74">
        <f t="shared" si="0"/>
        <v>10.350000000000023</v>
      </c>
      <c r="D64" s="74">
        <f t="shared" si="1"/>
        <v>10.350000000000023</v>
      </c>
      <c r="E64" s="74">
        <f t="shared" si="2"/>
        <v>0</v>
      </c>
      <c r="F64" s="75">
        <f t="shared" ref="F64:G64" si="67">AVERAGE(D64:D77)</f>
        <v>5.4107142857142856</v>
      </c>
      <c r="G64" s="75">
        <f t="shared" si="67"/>
        <v>3.1571428571428521</v>
      </c>
      <c r="H64" s="75">
        <f t="shared" si="4"/>
        <v>1.7138009049773781</v>
      </c>
      <c r="I64" s="76">
        <f t="shared" si="5"/>
        <v>63.151313047102995</v>
      </c>
    </row>
    <row r="65" spans="1:9" x14ac:dyDescent="0.25">
      <c r="A65" s="73">
        <v>45639</v>
      </c>
      <c r="B65" s="74">
        <v>678.6</v>
      </c>
      <c r="C65" s="74">
        <f t="shared" si="0"/>
        <v>-6.6499999999999773</v>
      </c>
      <c r="D65" s="74">
        <f t="shared" si="1"/>
        <v>0</v>
      </c>
      <c r="E65" s="74">
        <f t="shared" si="2"/>
        <v>6.6499999999999773</v>
      </c>
      <c r="F65" s="75">
        <f t="shared" ref="F65:G65" si="68">AVERAGE(D65:D78)</f>
        <v>4.6714285714285699</v>
      </c>
      <c r="G65" s="75">
        <f t="shared" si="68"/>
        <v>4.4178571428571365</v>
      </c>
      <c r="H65" s="75">
        <f t="shared" si="4"/>
        <v>1.0573969280517392</v>
      </c>
      <c r="I65" s="76">
        <f t="shared" si="5"/>
        <v>51.394891944990206</v>
      </c>
    </row>
    <row r="66" spans="1:9" x14ac:dyDescent="0.25">
      <c r="A66" s="73">
        <v>45638</v>
      </c>
      <c r="B66" s="74">
        <v>685.25</v>
      </c>
      <c r="C66" s="74">
        <f t="shared" ref="C66:C129" si="69">B66-B67</f>
        <v>7.6499999999999773</v>
      </c>
      <c r="D66" s="74">
        <f t="shared" ref="D66:D129" si="70">IF(C66&gt;0,C66,0)</f>
        <v>7.6499999999999773</v>
      </c>
      <c r="E66" s="74">
        <f t="shared" ref="E66:E129" si="71">IF(C66&gt;0,0,ABS(C66))</f>
        <v>0</v>
      </c>
      <c r="F66" s="75">
        <f t="shared" ref="F66:G66" si="72">AVERAGE(D66:D79)</f>
        <v>4.6714285714285699</v>
      </c>
      <c r="G66" s="75">
        <f t="shared" si="72"/>
        <v>4.9321428571428543</v>
      </c>
      <c r="H66" s="75">
        <f t="shared" ref="H66:H129" si="73">F66/G66</f>
        <v>0.94713975380159332</v>
      </c>
      <c r="I66" s="76">
        <f t="shared" ref="I66:I129" si="74">IF(G66=0,100,100-(100/(1+H66)))</f>
        <v>48.642618073633329</v>
      </c>
    </row>
    <row r="67" spans="1:9" x14ac:dyDescent="0.25">
      <c r="A67" s="73">
        <v>45637</v>
      </c>
      <c r="B67" s="74">
        <v>677.6</v>
      </c>
      <c r="C67" s="74">
        <f t="shared" si="69"/>
        <v>9.6000000000000227</v>
      </c>
      <c r="D67" s="74">
        <f t="shared" si="70"/>
        <v>9.6000000000000227</v>
      </c>
      <c r="E67" s="74">
        <f t="shared" si="71"/>
        <v>0</v>
      </c>
      <c r="F67" s="75">
        <f t="shared" ref="F67:G67" si="75">AVERAGE(D67:D80)</f>
        <v>4.125</v>
      </c>
      <c r="G67" s="75">
        <f t="shared" si="75"/>
        <v>5.664285714285711</v>
      </c>
      <c r="H67" s="75">
        <f t="shared" si="73"/>
        <v>0.72824716267339262</v>
      </c>
      <c r="I67" s="76">
        <f t="shared" si="74"/>
        <v>42.137905873768709</v>
      </c>
    </row>
    <row r="68" spans="1:9" x14ac:dyDescent="0.25">
      <c r="A68" s="73">
        <v>45636</v>
      </c>
      <c r="B68" s="74">
        <v>668</v>
      </c>
      <c r="C68" s="74">
        <f t="shared" si="69"/>
        <v>-7.2000000000000455</v>
      </c>
      <c r="D68" s="74">
        <f t="shared" si="70"/>
        <v>0</v>
      </c>
      <c r="E68" s="74">
        <f t="shared" si="71"/>
        <v>7.2000000000000455</v>
      </c>
      <c r="F68" s="75">
        <f t="shared" ref="F68:G68" si="76">AVERAGE(D68:D81)</f>
        <v>3.4392857142857127</v>
      </c>
      <c r="G68" s="75">
        <f t="shared" si="76"/>
        <v>6.4321428571428543</v>
      </c>
      <c r="H68" s="75">
        <f t="shared" si="73"/>
        <v>0.53470294280955022</v>
      </c>
      <c r="I68" s="76">
        <f t="shared" si="74"/>
        <v>34.840810419681617</v>
      </c>
    </row>
    <row r="69" spans="1:9" x14ac:dyDescent="0.25">
      <c r="A69" s="73">
        <v>45635</v>
      </c>
      <c r="B69" s="74">
        <v>675.2</v>
      </c>
      <c r="C69" s="74">
        <f t="shared" si="69"/>
        <v>0.85000000000002274</v>
      </c>
      <c r="D69" s="74">
        <f t="shared" si="70"/>
        <v>0.85000000000002274</v>
      </c>
      <c r="E69" s="74">
        <f t="shared" si="71"/>
        <v>0</v>
      </c>
      <c r="F69" s="75">
        <f t="shared" ref="F69:G69" si="77">AVERAGE(D69:D82)</f>
        <v>3.4392857142857127</v>
      </c>
      <c r="G69" s="75">
        <f t="shared" si="77"/>
        <v>6.124999999999992</v>
      </c>
      <c r="H69" s="75">
        <f t="shared" si="73"/>
        <v>0.56151603498542324</v>
      </c>
      <c r="I69" s="76">
        <f t="shared" si="74"/>
        <v>35.959671396564616</v>
      </c>
    </row>
    <row r="70" spans="1:9" x14ac:dyDescent="0.25">
      <c r="A70" s="73">
        <v>45632</v>
      </c>
      <c r="B70" s="74">
        <v>674.35</v>
      </c>
      <c r="C70" s="74">
        <f t="shared" si="69"/>
        <v>10.200000000000045</v>
      </c>
      <c r="D70" s="74">
        <f t="shared" si="70"/>
        <v>10.200000000000045</v>
      </c>
      <c r="E70" s="74">
        <f t="shared" si="71"/>
        <v>0</v>
      </c>
      <c r="F70" s="75">
        <f t="shared" ref="F70:G70" si="78">AVERAGE(D70:D83)</f>
        <v>3.3785714285714255</v>
      </c>
      <c r="G70" s="75">
        <f t="shared" si="78"/>
        <v>7.4964285714285666</v>
      </c>
      <c r="H70" s="75">
        <f t="shared" si="73"/>
        <v>0.45069080514530718</v>
      </c>
      <c r="I70" s="76">
        <f t="shared" si="74"/>
        <v>31.067323481116574</v>
      </c>
    </row>
    <row r="71" spans="1:9" x14ac:dyDescent="0.25">
      <c r="A71" s="73">
        <v>45631</v>
      </c>
      <c r="B71" s="74">
        <v>664.15</v>
      </c>
      <c r="C71" s="74">
        <f t="shared" si="69"/>
        <v>15.75</v>
      </c>
      <c r="D71" s="74">
        <f t="shared" si="70"/>
        <v>15.75</v>
      </c>
      <c r="E71" s="74">
        <f t="shared" si="71"/>
        <v>0</v>
      </c>
      <c r="F71" s="75">
        <f t="shared" ref="F71:G71" si="79">AVERAGE(D71:D84)</f>
        <v>2.8678571428571331</v>
      </c>
      <c r="G71" s="75">
        <f t="shared" si="79"/>
        <v>7.4964285714285666</v>
      </c>
      <c r="H71" s="75">
        <f t="shared" si="73"/>
        <v>0.38256312529775977</v>
      </c>
      <c r="I71" s="76">
        <f t="shared" si="74"/>
        <v>27.670572019296984</v>
      </c>
    </row>
    <row r="72" spans="1:9" x14ac:dyDescent="0.25">
      <c r="A72" s="73">
        <v>45630</v>
      </c>
      <c r="B72" s="74">
        <v>648.4</v>
      </c>
      <c r="C72" s="74">
        <f t="shared" si="69"/>
        <v>5.4499999999999318</v>
      </c>
      <c r="D72" s="74">
        <f t="shared" si="70"/>
        <v>5.4499999999999318</v>
      </c>
      <c r="E72" s="74">
        <f t="shared" si="71"/>
        <v>0</v>
      </c>
      <c r="F72" s="75">
        <f t="shared" ref="F72:G72" si="80">AVERAGE(D72:D85)</f>
        <v>1.7428571428571331</v>
      </c>
      <c r="G72" s="75">
        <f t="shared" si="80"/>
        <v>9.0035714285714175</v>
      </c>
      <c r="H72" s="75">
        <f t="shared" si="73"/>
        <v>0.19357397857992775</v>
      </c>
      <c r="I72" s="76">
        <f t="shared" si="74"/>
        <v>16.218012628780272</v>
      </c>
    </row>
    <row r="73" spans="1:9" x14ac:dyDescent="0.25">
      <c r="A73" s="73">
        <v>45629</v>
      </c>
      <c r="B73" s="74">
        <v>642.95000000000005</v>
      </c>
      <c r="C73" s="74">
        <f t="shared" si="69"/>
        <v>-2.6999999999999318</v>
      </c>
      <c r="D73" s="74">
        <f t="shared" si="70"/>
        <v>0</v>
      </c>
      <c r="E73" s="74">
        <f t="shared" si="71"/>
        <v>2.6999999999999318</v>
      </c>
      <c r="F73" s="75">
        <f t="shared" ref="F73:G73" si="81">AVERAGE(D73:D86)</f>
        <v>2.124999999999992</v>
      </c>
      <c r="G73" s="75">
        <f t="shared" si="81"/>
        <v>9.0035714285714175</v>
      </c>
      <c r="H73" s="75">
        <f t="shared" si="73"/>
        <v>0.2360174533915107</v>
      </c>
      <c r="I73" s="76">
        <f t="shared" si="74"/>
        <v>19.094993581514728</v>
      </c>
    </row>
    <row r="74" spans="1:9" x14ac:dyDescent="0.25">
      <c r="A74" s="73">
        <v>45628</v>
      </c>
      <c r="B74" s="74">
        <v>645.65</v>
      </c>
      <c r="C74" s="74">
        <f t="shared" si="69"/>
        <v>-9</v>
      </c>
      <c r="D74" s="74">
        <f t="shared" si="70"/>
        <v>0</v>
      </c>
      <c r="E74" s="74">
        <f t="shared" si="71"/>
        <v>9</v>
      </c>
      <c r="F74" s="75">
        <f t="shared" ref="F74:G74" si="82">AVERAGE(D74:D87)</f>
        <v>4.0678571428571377</v>
      </c>
      <c r="G74" s="75">
        <f t="shared" si="82"/>
        <v>8.8107142857142797</v>
      </c>
      <c r="H74" s="75">
        <f t="shared" si="73"/>
        <v>0.46169436562626648</v>
      </c>
      <c r="I74" s="76">
        <f t="shared" si="74"/>
        <v>31.586245146977248</v>
      </c>
    </row>
    <row r="75" spans="1:9" x14ac:dyDescent="0.25">
      <c r="A75" s="73">
        <v>45625</v>
      </c>
      <c r="B75" s="74">
        <v>654.65</v>
      </c>
      <c r="C75" s="74">
        <f t="shared" si="69"/>
        <v>-8.1499999999999773</v>
      </c>
      <c r="D75" s="74">
        <f t="shared" si="70"/>
        <v>0</v>
      </c>
      <c r="E75" s="74">
        <f t="shared" si="71"/>
        <v>8.1499999999999773</v>
      </c>
      <c r="F75" s="75">
        <f t="shared" ref="F75:G75" si="83">AVERAGE(D75:D88)</f>
        <v>4.0678571428571377</v>
      </c>
      <c r="G75" s="75">
        <f t="shared" si="83"/>
        <v>8.3642857142857086</v>
      </c>
      <c r="H75" s="75">
        <f t="shared" si="73"/>
        <v>0.48633646456020468</v>
      </c>
      <c r="I75" s="76">
        <f t="shared" si="74"/>
        <v>32.720482619936789</v>
      </c>
    </row>
    <row r="76" spans="1:9" x14ac:dyDescent="0.25">
      <c r="A76" s="73">
        <v>45624</v>
      </c>
      <c r="B76" s="74">
        <v>662.8</v>
      </c>
      <c r="C76" s="74">
        <f t="shared" si="69"/>
        <v>-10.5</v>
      </c>
      <c r="D76" s="74">
        <f t="shared" si="70"/>
        <v>0</v>
      </c>
      <c r="E76" s="74">
        <f t="shared" si="71"/>
        <v>10.5</v>
      </c>
      <c r="F76" s="75">
        <f t="shared" ref="F76:G76" si="84">AVERAGE(D76:D89)</f>
        <v>6.3678571428571331</v>
      </c>
      <c r="G76" s="75">
        <f t="shared" si="84"/>
        <v>7.7821428571428521</v>
      </c>
      <c r="H76" s="75">
        <f t="shared" si="73"/>
        <v>0.81826525929325311</v>
      </c>
      <c r="I76" s="76">
        <f t="shared" si="74"/>
        <v>45.002523977788975</v>
      </c>
    </row>
    <row r="77" spans="1:9" x14ac:dyDescent="0.25">
      <c r="A77" s="73">
        <v>45623</v>
      </c>
      <c r="B77" s="74">
        <v>673.3</v>
      </c>
      <c r="C77" s="74">
        <f t="shared" si="69"/>
        <v>15.899999999999977</v>
      </c>
      <c r="D77" s="74">
        <f t="shared" si="70"/>
        <v>15.899999999999977</v>
      </c>
      <c r="E77" s="74">
        <f t="shared" si="71"/>
        <v>0</v>
      </c>
      <c r="F77" s="75">
        <f t="shared" ref="F77:G77" si="85">AVERAGE(D77:D90)</f>
        <v>8.3535714285714242</v>
      </c>
      <c r="G77" s="75">
        <f t="shared" si="85"/>
        <v>7.0321428571428521</v>
      </c>
      <c r="H77" s="75">
        <f t="shared" si="73"/>
        <v>1.1879126460132048</v>
      </c>
      <c r="I77" s="76">
        <f t="shared" si="74"/>
        <v>54.294336118848655</v>
      </c>
    </row>
    <row r="78" spans="1:9" x14ac:dyDescent="0.25">
      <c r="A78" s="73">
        <v>45622</v>
      </c>
      <c r="B78" s="74">
        <v>657.4</v>
      </c>
      <c r="C78" s="74">
        <f t="shared" si="69"/>
        <v>-17.649999999999977</v>
      </c>
      <c r="D78" s="74">
        <f t="shared" si="70"/>
        <v>0</v>
      </c>
      <c r="E78" s="74">
        <f t="shared" si="71"/>
        <v>17.649999999999977</v>
      </c>
      <c r="F78" s="75">
        <f t="shared" ref="F78:G78" si="86">AVERAGE(D78:D91)</f>
        <v>7.2178571428571399</v>
      </c>
      <c r="G78" s="75">
        <f t="shared" si="86"/>
        <v>7.6285714285714255</v>
      </c>
      <c r="H78" s="75">
        <f t="shared" si="73"/>
        <v>0.94616104868913853</v>
      </c>
      <c r="I78" s="76">
        <f t="shared" si="74"/>
        <v>48.616790955015638</v>
      </c>
    </row>
    <row r="79" spans="1:9" x14ac:dyDescent="0.25">
      <c r="A79" s="73">
        <v>45621</v>
      </c>
      <c r="B79" s="74">
        <v>675.05</v>
      </c>
      <c r="C79" s="74">
        <f t="shared" si="69"/>
        <v>-13.850000000000023</v>
      </c>
      <c r="D79" s="74">
        <f t="shared" si="70"/>
        <v>0</v>
      </c>
      <c r="E79" s="74">
        <f t="shared" si="71"/>
        <v>13.850000000000023</v>
      </c>
      <c r="F79" s="75">
        <f t="shared" ref="F79:G79" si="87">AVERAGE(D79:D92)</f>
        <v>7.2178571428571399</v>
      </c>
      <c r="G79" s="75">
        <f t="shared" si="87"/>
        <v>7.7607142857142843</v>
      </c>
      <c r="H79" s="75">
        <f t="shared" si="73"/>
        <v>0.93005062126092941</v>
      </c>
      <c r="I79" s="76">
        <f t="shared" si="74"/>
        <v>48.187887458273721</v>
      </c>
    </row>
    <row r="80" spans="1:9" x14ac:dyDescent="0.25">
      <c r="A80" s="73">
        <v>45618</v>
      </c>
      <c r="B80" s="74">
        <v>688.9</v>
      </c>
      <c r="C80" s="74">
        <f t="shared" si="69"/>
        <v>-10.25</v>
      </c>
      <c r="D80" s="74">
        <f t="shared" si="70"/>
        <v>0</v>
      </c>
      <c r="E80" s="74">
        <f t="shared" si="71"/>
        <v>10.25</v>
      </c>
      <c r="F80" s="75">
        <f t="shared" ref="F80:G80" si="88">AVERAGE(D80:D93)</f>
        <v>7.4678571428571399</v>
      </c>
      <c r="G80" s="75">
        <f t="shared" si="88"/>
        <v>6.7714285714285678</v>
      </c>
      <c r="H80" s="75">
        <f t="shared" si="73"/>
        <v>1.1028481012658229</v>
      </c>
      <c r="I80" s="76">
        <f t="shared" si="74"/>
        <v>52.445447705041389</v>
      </c>
    </row>
    <row r="81" spans="1:9" x14ac:dyDescent="0.25">
      <c r="A81" s="73">
        <v>45617</v>
      </c>
      <c r="B81" s="74">
        <v>699.15</v>
      </c>
      <c r="C81" s="74">
        <f t="shared" si="69"/>
        <v>-10.75</v>
      </c>
      <c r="D81" s="74">
        <f t="shared" si="70"/>
        <v>0</v>
      </c>
      <c r="E81" s="74">
        <f t="shared" si="71"/>
        <v>10.75</v>
      </c>
      <c r="F81" s="75">
        <f t="shared" ref="F81:G81" si="89">AVERAGE(D81:D94)</f>
        <v>7.8107142857142788</v>
      </c>
      <c r="G81" s="75">
        <f t="shared" si="89"/>
        <v>6.039285714285711</v>
      </c>
      <c r="H81" s="75">
        <f t="shared" si="73"/>
        <v>1.2933175635718506</v>
      </c>
      <c r="I81" s="76">
        <f t="shared" si="74"/>
        <v>56.395048994326963</v>
      </c>
    </row>
    <row r="82" spans="1:9" x14ac:dyDescent="0.25">
      <c r="A82" s="73">
        <v>45615</v>
      </c>
      <c r="B82" s="74">
        <v>709.9</v>
      </c>
      <c r="C82" s="74">
        <f t="shared" si="69"/>
        <v>-2.8999999999999773</v>
      </c>
      <c r="D82" s="74">
        <f t="shared" si="70"/>
        <v>0</v>
      </c>
      <c r="E82" s="74">
        <f t="shared" si="71"/>
        <v>2.8999999999999773</v>
      </c>
      <c r="F82" s="75">
        <f t="shared" ref="F82:G82" si="90">AVERAGE(D82:D95)</f>
        <v>7.8107142857142788</v>
      </c>
      <c r="G82" s="75">
        <f t="shared" si="90"/>
        <v>5.9107142857142776</v>
      </c>
      <c r="H82" s="75">
        <f t="shared" si="73"/>
        <v>1.3214501510574024</v>
      </c>
      <c r="I82" s="76">
        <f t="shared" si="74"/>
        <v>56.923477355544001</v>
      </c>
    </row>
    <row r="83" spans="1:9" x14ac:dyDescent="0.25">
      <c r="A83" s="73">
        <v>45614</v>
      </c>
      <c r="B83" s="74">
        <v>712.8</v>
      </c>
      <c r="C83" s="74">
        <f t="shared" si="69"/>
        <v>-19.200000000000045</v>
      </c>
      <c r="D83" s="74">
        <f t="shared" si="70"/>
        <v>0</v>
      </c>
      <c r="E83" s="74">
        <f t="shared" si="71"/>
        <v>19.200000000000045</v>
      </c>
      <c r="F83" s="75">
        <f t="shared" ref="F83:G83" si="91">AVERAGE(D83:D96)</f>
        <v>10.696428571428564</v>
      </c>
      <c r="G83" s="75">
        <f t="shared" si="91"/>
        <v>5.7035714285714221</v>
      </c>
      <c r="H83" s="75">
        <f t="shared" si="73"/>
        <v>1.8753913587977467</v>
      </c>
      <c r="I83" s="76">
        <f t="shared" si="74"/>
        <v>65.222125435540079</v>
      </c>
    </row>
    <row r="84" spans="1:9" x14ac:dyDescent="0.25">
      <c r="A84" s="73">
        <v>45610</v>
      </c>
      <c r="B84" s="74">
        <v>732</v>
      </c>
      <c r="C84" s="74">
        <f t="shared" si="69"/>
        <v>3.0499999999999545</v>
      </c>
      <c r="D84" s="74">
        <f t="shared" si="70"/>
        <v>3.0499999999999545</v>
      </c>
      <c r="E84" s="74">
        <f t="shared" si="71"/>
        <v>0</v>
      </c>
      <c r="F84" s="75">
        <f t="shared" ref="F84:G84" si="92">AVERAGE(D84:D97)</f>
        <v>10.696428571428564</v>
      </c>
      <c r="G84" s="75">
        <f t="shared" si="92"/>
        <v>6.1892857142857043</v>
      </c>
      <c r="H84" s="75">
        <f t="shared" si="73"/>
        <v>1.7282169648009249</v>
      </c>
      <c r="I84" s="76">
        <f t="shared" si="74"/>
        <v>63.346023688663308</v>
      </c>
    </row>
    <row r="85" spans="1:9" x14ac:dyDescent="0.25">
      <c r="A85" s="73">
        <v>45609</v>
      </c>
      <c r="B85" s="74">
        <v>728.95</v>
      </c>
      <c r="C85" s="74">
        <f t="shared" si="69"/>
        <v>-21.099999999999909</v>
      </c>
      <c r="D85" s="74">
        <f t="shared" si="70"/>
        <v>0</v>
      </c>
      <c r="E85" s="74">
        <f t="shared" si="71"/>
        <v>21.099999999999909</v>
      </c>
      <c r="F85" s="75">
        <f t="shared" ref="F85:G85" si="93">AVERAGE(D85:D98)</f>
        <v>10.478571428571424</v>
      </c>
      <c r="G85" s="75">
        <f t="shared" si="93"/>
        <v>6.3392857142857064</v>
      </c>
      <c r="H85" s="75">
        <f t="shared" si="73"/>
        <v>1.6529577464788745</v>
      </c>
      <c r="I85" s="76">
        <f t="shared" si="74"/>
        <v>62.306222127840321</v>
      </c>
    </row>
    <row r="86" spans="1:9" x14ac:dyDescent="0.25">
      <c r="A86" s="73">
        <v>45608</v>
      </c>
      <c r="B86" s="74">
        <v>750.05</v>
      </c>
      <c r="C86" s="74">
        <f t="shared" si="69"/>
        <v>10.799999999999955</v>
      </c>
      <c r="D86" s="74">
        <f t="shared" si="70"/>
        <v>10.799999999999955</v>
      </c>
      <c r="E86" s="74">
        <f t="shared" si="71"/>
        <v>0</v>
      </c>
      <c r="F86" s="75">
        <f t="shared" ref="F86:G86" si="94">AVERAGE(D86:D99)</f>
        <v>10.478571428571424</v>
      </c>
      <c r="G86" s="75">
        <f t="shared" si="94"/>
        <v>6.0285714285714267</v>
      </c>
      <c r="H86" s="75">
        <f t="shared" si="73"/>
        <v>1.7381516587677723</v>
      </c>
      <c r="I86" s="76">
        <f t="shared" si="74"/>
        <v>63.47901341410644</v>
      </c>
    </row>
    <row r="87" spans="1:9" x14ac:dyDescent="0.25">
      <c r="A87" s="73">
        <v>45607</v>
      </c>
      <c r="B87" s="74">
        <v>739.25</v>
      </c>
      <c r="C87" s="74">
        <f t="shared" si="69"/>
        <v>27.200000000000045</v>
      </c>
      <c r="D87" s="74">
        <f t="shared" si="70"/>
        <v>27.200000000000045</v>
      </c>
      <c r="E87" s="74">
        <f t="shared" si="71"/>
        <v>0</v>
      </c>
      <c r="F87" s="75">
        <f t="shared" ref="F87:G87" si="95">AVERAGE(D87:D100)</f>
        <v>10.957142857142856</v>
      </c>
      <c r="G87" s="75">
        <f t="shared" si="95"/>
        <v>6.0285714285714267</v>
      </c>
      <c r="H87" s="75">
        <f t="shared" si="73"/>
        <v>1.817535545023697</v>
      </c>
      <c r="I87" s="76">
        <f t="shared" si="74"/>
        <v>64.507989907485282</v>
      </c>
    </row>
    <row r="88" spans="1:9" x14ac:dyDescent="0.25">
      <c r="A88" s="73">
        <v>45604</v>
      </c>
      <c r="B88" s="74">
        <v>712.05</v>
      </c>
      <c r="C88" s="74">
        <f t="shared" si="69"/>
        <v>-2.75</v>
      </c>
      <c r="D88" s="74">
        <f t="shared" si="70"/>
        <v>0</v>
      </c>
      <c r="E88" s="74">
        <f t="shared" si="71"/>
        <v>2.75</v>
      </c>
      <c r="F88" s="75">
        <f t="shared" ref="F88:G88" si="96">AVERAGE(D88:D101)</f>
        <v>9.0142857142857089</v>
      </c>
      <c r="G88" s="75">
        <f t="shared" si="96"/>
        <v>7.0499999999999954</v>
      </c>
      <c r="H88" s="75">
        <f t="shared" si="73"/>
        <v>1.2786220871327254</v>
      </c>
      <c r="I88" s="76">
        <f t="shared" si="74"/>
        <v>56.113828368163631</v>
      </c>
    </row>
    <row r="89" spans="1:9" x14ac:dyDescent="0.25">
      <c r="A89" s="73">
        <v>45603</v>
      </c>
      <c r="B89" s="74">
        <v>714.8</v>
      </c>
      <c r="C89" s="74">
        <f t="shared" si="69"/>
        <v>32.199999999999932</v>
      </c>
      <c r="D89" s="74">
        <f t="shared" si="70"/>
        <v>32.199999999999932</v>
      </c>
      <c r="E89" s="74">
        <f t="shared" si="71"/>
        <v>0</v>
      </c>
      <c r="F89" s="75">
        <f t="shared" ref="F89:G89" si="97">AVERAGE(D89:D102)</f>
        <v>9.5642857142857043</v>
      </c>
      <c r="G89" s="75">
        <f t="shared" si="97"/>
        <v>6.8535714285714233</v>
      </c>
      <c r="H89" s="75">
        <f t="shared" si="73"/>
        <v>1.3955184992183425</v>
      </c>
      <c r="I89" s="76">
        <f t="shared" si="74"/>
        <v>58.255383946051765</v>
      </c>
    </row>
    <row r="90" spans="1:9" x14ac:dyDescent="0.25">
      <c r="A90" s="73">
        <v>45602</v>
      </c>
      <c r="B90" s="74">
        <v>682.6</v>
      </c>
      <c r="C90" s="74">
        <f t="shared" si="69"/>
        <v>27.800000000000068</v>
      </c>
      <c r="D90" s="74">
        <f t="shared" si="70"/>
        <v>27.800000000000068</v>
      </c>
      <c r="E90" s="74">
        <f t="shared" si="71"/>
        <v>0</v>
      </c>
      <c r="F90" s="75">
        <f t="shared" ref="F90:G90" si="98">AVERAGE(D90:D103)</f>
        <v>7.2857142857142856</v>
      </c>
      <c r="G90" s="75">
        <f t="shared" si="98"/>
        <v>6.8535714285714233</v>
      </c>
      <c r="H90" s="75">
        <f t="shared" si="73"/>
        <v>1.0630536737884322</v>
      </c>
      <c r="I90" s="76">
        <f t="shared" si="74"/>
        <v>51.528163677696405</v>
      </c>
    </row>
    <row r="91" spans="1:9" x14ac:dyDescent="0.25">
      <c r="A91" s="73">
        <v>45601</v>
      </c>
      <c r="B91" s="74">
        <v>654.79999999999995</v>
      </c>
      <c r="C91" s="74">
        <f t="shared" si="69"/>
        <v>-8.3500000000000227</v>
      </c>
      <c r="D91" s="74">
        <f t="shared" si="70"/>
        <v>0</v>
      </c>
      <c r="E91" s="74">
        <f t="shared" si="71"/>
        <v>8.3500000000000227</v>
      </c>
      <c r="F91" s="75">
        <f t="shared" ref="F91:G91" si="99">AVERAGE(D91:D104)</f>
        <v>5.2999999999999954</v>
      </c>
      <c r="G91" s="75">
        <f t="shared" si="99"/>
        <v>7.7642857142857098</v>
      </c>
      <c r="H91" s="75">
        <f t="shared" si="73"/>
        <v>0.68261269549218007</v>
      </c>
      <c r="I91" s="76">
        <f t="shared" si="74"/>
        <v>40.56861673045379</v>
      </c>
    </row>
    <row r="92" spans="1:9" x14ac:dyDescent="0.25">
      <c r="A92" s="73">
        <v>45600</v>
      </c>
      <c r="B92" s="74">
        <v>663.15</v>
      </c>
      <c r="C92" s="74">
        <f t="shared" si="69"/>
        <v>-19.5</v>
      </c>
      <c r="D92" s="74">
        <f t="shared" si="70"/>
        <v>0</v>
      </c>
      <c r="E92" s="74">
        <f t="shared" si="71"/>
        <v>19.5</v>
      </c>
      <c r="F92" s="75">
        <f t="shared" ref="F92:G92" si="100">AVERAGE(D92:D105)</f>
        <v>5.2999999999999954</v>
      </c>
      <c r="G92" s="75">
        <f t="shared" si="100"/>
        <v>7.3714285714285666</v>
      </c>
      <c r="H92" s="75">
        <f t="shared" si="73"/>
        <v>0.71899224806201534</v>
      </c>
      <c r="I92" s="76">
        <f t="shared" si="74"/>
        <v>41.826381059751974</v>
      </c>
    </row>
    <row r="93" spans="1:9" x14ac:dyDescent="0.25">
      <c r="A93" s="73">
        <v>45597</v>
      </c>
      <c r="B93" s="74">
        <v>682.65</v>
      </c>
      <c r="C93" s="74">
        <f t="shared" si="69"/>
        <v>3.5</v>
      </c>
      <c r="D93" s="74">
        <f t="shared" si="70"/>
        <v>3.5</v>
      </c>
      <c r="E93" s="74">
        <f t="shared" si="71"/>
        <v>0</v>
      </c>
      <c r="F93" s="75">
        <f t="shared" ref="F93:G93" si="101">AVERAGE(D93:D106)</f>
        <v>5.2999999999999954</v>
      </c>
      <c r="G93" s="75">
        <f t="shared" si="101"/>
        <v>6.7678571428571432</v>
      </c>
      <c r="H93" s="75">
        <f t="shared" si="73"/>
        <v>0.78311345646437924</v>
      </c>
      <c r="I93" s="76">
        <f t="shared" si="74"/>
        <v>43.918319029298587</v>
      </c>
    </row>
    <row r="94" spans="1:9" x14ac:dyDescent="0.25">
      <c r="A94" s="73">
        <v>45596</v>
      </c>
      <c r="B94" s="74">
        <v>679.15</v>
      </c>
      <c r="C94" s="74">
        <f t="shared" si="69"/>
        <v>4.7999999999999545</v>
      </c>
      <c r="D94" s="74">
        <f t="shared" si="70"/>
        <v>4.7999999999999545</v>
      </c>
      <c r="E94" s="74">
        <f t="shared" si="71"/>
        <v>0</v>
      </c>
      <c r="F94" s="75">
        <f t="shared" ref="F94:G94" si="102">AVERAGE(D94:D107)</f>
        <v>5.0499999999999954</v>
      </c>
      <c r="G94" s="75">
        <f t="shared" si="102"/>
        <v>7.0178571428571432</v>
      </c>
      <c r="H94" s="75">
        <f t="shared" si="73"/>
        <v>0.71959287531806548</v>
      </c>
      <c r="I94" s="76">
        <f t="shared" si="74"/>
        <v>41.846700207161867</v>
      </c>
    </row>
    <row r="95" spans="1:9" x14ac:dyDescent="0.25">
      <c r="A95" s="73">
        <v>45595</v>
      </c>
      <c r="B95" s="74">
        <v>674.35</v>
      </c>
      <c r="C95" s="74">
        <f t="shared" si="69"/>
        <v>-8.9499999999999318</v>
      </c>
      <c r="D95" s="74">
        <f t="shared" si="70"/>
        <v>0</v>
      </c>
      <c r="E95" s="74">
        <f t="shared" si="71"/>
        <v>8.9499999999999318</v>
      </c>
      <c r="F95" s="75">
        <f t="shared" ref="F95:G95" si="103">AVERAGE(D95:D108)</f>
        <v>4.7071428571428555</v>
      </c>
      <c r="G95" s="75">
        <f t="shared" si="103"/>
        <v>8.5999999999999979</v>
      </c>
      <c r="H95" s="75">
        <f t="shared" si="73"/>
        <v>0.54734219269102979</v>
      </c>
      <c r="I95" s="76">
        <f t="shared" si="74"/>
        <v>35.373054213633921</v>
      </c>
    </row>
    <row r="96" spans="1:9" x14ac:dyDescent="0.25">
      <c r="A96" s="73">
        <v>45594</v>
      </c>
      <c r="B96" s="74">
        <v>683.3</v>
      </c>
      <c r="C96" s="74">
        <f t="shared" si="69"/>
        <v>40.399999999999977</v>
      </c>
      <c r="D96" s="74">
        <f t="shared" si="70"/>
        <v>40.399999999999977</v>
      </c>
      <c r="E96" s="74">
        <f t="shared" si="71"/>
        <v>0</v>
      </c>
      <c r="F96" s="75">
        <f t="shared" ref="F96:G96" si="104">AVERAGE(D96:D109)</f>
        <v>4.7071428571428555</v>
      </c>
      <c r="G96" s="75">
        <f t="shared" si="104"/>
        <v>8.0500000000000025</v>
      </c>
      <c r="H96" s="75">
        <f t="shared" si="73"/>
        <v>0.58473824312333589</v>
      </c>
      <c r="I96" s="76">
        <f t="shared" si="74"/>
        <v>36.898096304591249</v>
      </c>
    </row>
    <row r="97" spans="1:9" x14ac:dyDescent="0.25">
      <c r="A97" s="73">
        <v>45593</v>
      </c>
      <c r="B97" s="74">
        <v>642.9</v>
      </c>
      <c r="C97" s="74">
        <f t="shared" si="69"/>
        <v>-26</v>
      </c>
      <c r="D97" s="74">
        <f t="shared" si="70"/>
        <v>0</v>
      </c>
      <c r="E97" s="74">
        <f t="shared" si="71"/>
        <v>26</v>
      </c>
      <c r="F97" s="75">
        <f t="shared" ref="F97:G97" si="105">AVERAGE(D97:D110)</f>
        <v>2.3607142857142907</v>
      </c>
      <c r="G97" s="75">
        <f t="shared" si="105"/>
        <v>8.0500000000000025</v>
      </c>
      <c r="H97" s="75">
        <f t="shared" si="73"/>
        <v>0.29325643300798632</v>
      </c>
      <c r="I97" s="76">
        <f t="shared" si="74"/>
        <v>22.675814751286481</v>
      </c>
    </row>
    <row r="98" spans="1:9" x14ac:dyDescent="0.25">
      <c r="A98" s="73">
        <v>45590</v>
      </c>
      <c r="B98" s="74">
        <v>668.9</v>
      </c>
      <c r="C98" s="74">
        <f t="shared" si="69"/>
        <v>-2.1000000000000227</v>
      </c>
      <c r="D98" s="74">
        <f t="shared" si="70"/>
        <v>0</v>
      </c>
      <c r="E98" s="74">
        <f t="shared" si="71"/>
        <v>2.1000000000000227</v>
      </c>
      <c r="F98" s="75">
        <f t="shared" ref="F98:G98" si="106">AVERAGE(D98:D111)</f>
        <v>5.8142857142857123</v>
      </c>
      <c r="G98" s="75">
        <f t="shared" si="106"/>
        <v>6.1928571428571457</v>
      </c>
      <c r="H98" s="75">
        <f t="shared" si="73"/>
        <v>0.93886966551326334</v>
      </c>
      <c r="I98" s="76">
        <f t="shared" si="74"/>
        <v>48.423557406305747</v>
      </c>
    </row>
    <row r="99" spans="1:9" x14ac:dyDescent="0.25">
      <c r="A99" s="73">
        <v>45589</v>
      </c>
      <c r="B99" s="74">
        <v>671</v>
      </c>
      <c r="C99" s="74">
        <f t="shared" si="69"/>
        <v>-16.75</v>
      </c>
      <c r="D99" s="74">
        <f t="shared" si="70"/>
        <v>0</v>
      </c>
      <c r="E99" s="74">
        <f t="shared" si="71"/>
        <v>16.75</v>
      </c>
      <c r="F99" s="75">
        <f t="shared" ref="F99:G99" si="107">AVERAGE(D99:D112)</f>
        <v>5.8142857142857123</v>
      </c>
      <c r="G99" s="75">
        <f t="shared" si="107"/>
        <v>7.8499999999999988</v>
      </c>
      <c r="H99" s="75">
        <f t="shared" si="73"/>
        <v>0.7406733393994539</v>
      </c>
      <c r="I99" s="76">
        <f t="shared" si="74"/>
        <v>42.550967067433348</v>
      </c>
    </row>
    <row r="100" spans="1:9" x14ac:dyDescent="0.25">
      <c r="A100" s="73">
        <v>45588</v>
      </c>
      <c r="B100" s="74">
        <v>687.75</v>
      </c>
      <c r="C100" s="74">
        <f t="shared" si="69"/>
        <v>17.5</v>
      </c>
      <c r="D100" s="74">
        <f t="shared" si="70"/>
        <v>17.5</v>
      </c>
      <c r="E100" s="74">
        <f t="shared" si="71"/>
        <v>0</v>
      </c>
      <c r="F100" s="75">
        <f t="shared" ref="F100:G100" si="108">AVERAGE(D100:D113)</f>
        <v>5.8142857142857123</v>
      </c>
      <c r="G100" s="75">
        <f t="shared" si="108"/>
        <v>7.3035714285714288</v>
      </c>
      <c r="H100" s="75">
        <f t="shared" si="73"/>
        <v>0.79608801955990194</v>
      </c>
      <c r="I100" s="76">
        <f t="shared" si="74"/>
        <v>44.323441328614201</v>
      </c>
    </row>
    <row r="101" spans="1:9" x14ac:dyDescent="0.25">
      <c r="A101" s="73">
        <v>45587</v>
      </c>
      <c r="B101" s="74">
        <v>670.25</v>
      </c>
      <c r="C101" s="74">
        <f t="shared" si="69"/>
        <v>-14.299999999999955</v>
      </c>
      <c r="D101" s="74">
        <f t="shared" si="70"/>
        <v>0</v>
      </c>
      <c r="E101" s="74">
        <f t="shared" si="71"/>
        <v>14.299999999999955</v>
      </c>
      <c r="F101" s="75">
        <f t="shared" ref="F101:G101" si="109">AVERAGE(D101:D114)</f>
        <v>4.5642857142857123</v>
      </c>
      <c r="G101" s="75">
        <f t="shared" si="109"/>
        <v>8.3642857142857157</v>
      </c>
      <c r="H101" s="75">
        <f t="shared" si="73"/>
        <v>0.54568744662681434</v>
      </c>
      <c r="I101" s="76">
        <f t="shared" si="74"/>
        <v>35.303867403314896</v>
      </c>
    </row>
    <row r="102" spans="1:9" x14ac:dyDescent="0.25">
      <c r="A102" s="73">
        <v>45586</v>
      </c>
      <c r="B102" s="74">
        <v>684.55</v>
      </c>
      <c r="C102" s="74">
        <f t="shared" si="69"/>
        <v>7.6999999999999318</v>
      </c>
      <c r="D102" s="74">
        <f t="shared" si="70"/>
        <v>7.6999999999999318</v>
      </c>
      <c r="E102" s="74">
        <f t="shared" si="71"/>
        <v>0</v>
      </c>
      <c r="F102" s="75">
        <f t="shared" ref="F102:G102" si="110">AVERAGE(D102:D115)</f>
        <v>4.5642857142857123</v>
      </c>
      <c r="G102" s="75">
        <f t="shared" si="110"/>
        <v>8.0285714285714267</v>
      </c>
      <c r="H102" s="75">
        <f t="shared" si="73"/>
        <v>0.56850533807829173</v>
      </c>
      <c r="I102" s="76">
        <f t="shared" si="74"/>
        <v>36.24503686897333</v>
      </c>
    </row>
    <row r="103" spans="1:9" x14ac:dyDescent="0.25">
      <c r="A103" s="73">
        <v>45583</v>
      </c>
      <c r="B103" s="74">
        <v>676.85</v>
      </c>
      <c r="C103" s="74">
        <f t="shared" si="69"/>
        <v>0.30000000000006821</v>
      </c>
      <c r="D103" s="74">
        <f t="shared" si="70"/>
        <v>0.30000000000006821</v>
      </c>
      <c r="E103" s="74">
        <f t="shared" si="71"/>
        <v>0</v>
      </c>
      <c r="F103" s="75">
        <f t="shared" ref="F103:G103" si="111">AVERAGE(D103:D116)</f>
        <v>4.0142857142857178</v>
      </c>
      <c r="G103" s="75">
        <f t="shared" si="111"/>
        <v>8.546428571428569</v>
      </c>
      <c r="H103" s="75">
        <f t="shared" si="73"/>
        <v>0.46970330129544557</v>
      </c>
      <c r="I103" s="76">
        <f t="shared" si="74"/>
        <v>31.959056013648009</v>
      </c>
    </row>
    <row r="104" spans="1:9" x14ac:dyDescent="0.25">
      <c r="A104" s="73">
        <v>45582</v>
      </c>
      <c r="B104" s="74">
        <v>676.55</v>
      </c>
      <c r="C104" s="74">
        <f t="shared" si="69"/>
        <v>-12.75</v>
      </c>
      <c r="D104" s="74">
        <f t="shared" si="70"/>
        <v>0</v>
      </c>
      <c r="E104" s="74">
        <f t="shared" si="71"/>
        <v>12.75</v>
      </c>
      <c r="F104" s="75">
        <f t="shared" ref="F104:G104" si="112">AVERAGE(D104:D117)</f>
        <v>3.9928571428571411</v>
      </c>
      <c r="G104" s="75">
        <f t="shared" si="112"/>
        <v>11.125</v>
      </c>
      <c r="H104" s="75">
        <f t="shared" si="73"/>
        <v>0.35890850722311379</v>
      </c>
      <c r="I104" s="76">
        <f t="shared" si="74"/>
        <v>26.411528466808392</v>
      </c>
    </row>
    <row r="105" spans="1:9" x14ac:dyDescent="0.25">
      <c r="A105" s="73">
        <v>45581</v>
      </c>
      <c r="B105" s="74">
        <v>689.3</v>
      </c>
      <c r="C105" s="74">
        <f t="shared" si="69"/>
        <v>-2.8500000000000227</v>
      </c>
      <c r="D105" s="74">
        <f t="shared" si="70"/>
        <v>0</v>
      </c>
      <c r="E105" s="74">
        <f t="shared" si="71"/>
        <v>2.8500000000000227</v>
      </c>
      <c r="F105" s="75">
        <f t="shared" ref="F105:G105" si="113">AVERAGE(D105:D118)</f>
        <v>3.9928571428571411</v>
      </c>
      <c r="G105" s="75">
        <f t="shared" si="113"/>
        <v>10.75</v>
      </c>
      <c r="H105" s="75">
        <f t="shared" si="73"/>
        <v>0.37142857142857127</v>
      </c>
      <c r="I105" s="76">
        <f t="shared" si="74"/>
        <v>27.083333333333329</v>
      </c>
    </row>
    <row r="106" spans="1:9" x14ac:dyDescent="0.25">
      <c r="A106" s="73">
        <v>45580</v>
      </c>
      <c r="B106" s="74">
        <v>692.15</v>
      </c>
      <c r="C106" s="74">
        <f t="shared" si="69"/>
        <v>-11.050000000000068</v>
      </c>
      <c r="D106" s="74">
        <f t="shared" si="70"/>
        <v>0</v>
      </c>
      <c r="E106" s="74">
        <f t="shared" si="71"/>
        <v>11.050000000000068</v>
      </c>
      <c r="F106" s="75">
        <f t="shared" ref="F106:G106" si="114">AVERAGE(D106:D119)</f>
        <v>3.9928571428571411</v>
      </c>
      <c r="G106" s="75">
        <f t="shared" si="114"/>
        <v>10.932142857142853</v>
      </c>
      <c r="H106" s="75">
        <f t="shared" si="73"/>
        <v>0.36524011760862457</v>
      </c>
      <c r="I106" s="76">
        <f t="shared" si="74"/>
        <v>26.752811677434792</v>
      </c>
    </row>
    <row r="107" spans="1:9" x14ac:dyDescent="0.25">
      <c r="A107" s="73">
        <v>45579</v>
      </c>
      <c r="B107" s="74">
        <v>703.2</v>
      </c>
      <c r="C107" s="74">
        <f t="shared" si="69"/>
        <v>-3.5</v>
      </c>
      <c r="D107" s="74">
        <f t="shared" si="70"/>
        <v>0</v>
      </c>
      <c r="E107" s="74">
        <f t="shared" si="71"/>
        <v>3.5</v>
      </c>
      <c r="F107" s="75">
        <f t="shared" ref="F107:G107" si="115">AVERAGE(D107:D120)</f>
        <v>3.9928571428571411</v>
      </c>
      <c r="G107" s="75">
        <f t="shared" si="115"/>
        <v>10.339285714285706</v>
      </c>
      <c r="H107" s="75">
        <f t="shared" si="73"/>
        <v>0.38618307426597592</v>
      </c>
      <c r="I107" s="76">
        <f t="shared" si="74"/>
        <v>27.859456765512093</v>
      </c>
    </row>
    <row r="108" spans="1:9" x14ac:dyDescent="0.25">
      <c r="A108" s="73">
        <v>45576</v>
      </c>
      <c r="B108" s="74">
        <v>706.7</v>
      </c>
      <c r="C108" s="74">
        <f t="shared" si="69"/>
        <v>-22.149999999999977</v>
      </c>
      <c r="D108" s="74">
        <f t="shared" si="70"/>
        <v>0</v>
      </c>
      <c r="E108" s="74">
        <f t="shared" si="71"/>
        <v>22.149999999999977</v>
      </c>
      <c r="F108" s="75">
        <f t="shared" ref="F108:G108" si="116">AVERAGE(D108:D121)</f>
        <v>4.6857142857142788</v>
      </c>
      <c r="G108" s="75">
        <f t="shared" si="116"/>
        <v>10.089285714285706</v>
      </c>
      <c r="H108" s="75">
        <f t="shared" si="73"/>
        <v>0.46442477876106164</v>
      </c>
      <c r="I108" s="76">
        <f t="shared" si="74"/>
        <v>31.713802272177887</v>
      </c>
    </row>
    <row r="109" spans="1:9" x14ac:dyDescent="0.25">
      <c r="A109" s="73">
        <v>45575</v>
      </c>
      <c r="B109" s="74">
        <v>728.85</v>
      </c>
      <c r="C109" s="74">
        <f t="shared" si="69"/>
        <v>-1.25</v>
      </c>
      <c r="D109" s="74">
        <f t="shared" si="70"/>
        <v>0</v>
      </c>
      <c r="E109" s="74">
        <f t="shared" si="71"/>
        <v>1.25</v>
      </c>
      <c r="F109" s="75">
        <f t="shared" ref="F109:G109" si="117">AVERAGE(D109:D122)</f>
        <v>7.5071428571428509</v>
      </c>
      <c r="G109" s="75">
        <f t="shared" si="117"/>
        <v>8.5071428571428509</v>
      </c>
      <c r="H109" s="75">
        <f t="shared" si="73"/>
        <v>0.88245172124265314</v>
      </c>
      <c r="I109" s="76">
        <f t="shared" si="74"/>
        <v>46.877787689562894</v>
      </c>
    </row>
    <row r="110" spans="1:9" x14ac:dyDescent="0.25">
      <c r="A110" s="73">
        <v>45574</v>
      </c>
      <c r="B110" s="74">
        <v>730.1</v>
      </c>
      <c r="C110" s="74">
        <f t="shared" si="69"/>
        <v>7.5500000000000682</v>
      </c>
      <c r="D110" s="74">
        <f t="shared" si="70"/>
        <v>7.5500000000000682</v>
      </c>
      <c r="E110" s="74">
        <f t="shared" si="71"/>
        <v>0</v>
      </c>
      <c r="F110" s="75">
        <f t="shared" ref="F110:G110" si="118">AVERAGE(D110:D123)</f>
        <v>7.5071428571428509</v>
      </c>
      <c r="G110" s="75">
        <f t="shared" si="118"/>
        <v>8.9821428571428488</v>
      </c>
      <c r="H110" s="75">
        <f t="shared" si="73"/>
        <v>0.83578528827037779</v>
      </c>
      <c r="I110" s="76">
        <f t="shared" si="74"/>
        <v>45.527398743773013</v>
      </c>
    </row>
    <row r="111" spans="1:9" x14ac:dyDescent="0.25">
      <c r="A111" s="73">
        <v>45573</v>
      </c>
      <c r="B111" s="74">
        <v>722.55</v>
      </c>
      <c r="C111" s="74">
        <f t="shared" si="69"/>
        <v>48.349999999999909</v>
      </c>
      <c r="D111" s="74">
        <f t="shared" si="70"/>
        <v>48.349999999999909</v>
      </c>
      <c r="E111" s="74">
        <f t="shared" si="71"/>
        <v>0</v>
      </c>
      <c r="F111" s="75">
        <f t="shared" ref="F111:G111" si="119">AVERAGE(D111:D124)</f>
        <v>7.124999999999992</v>
      </c>
      <c r="G111" s="75">
        <f t="shared" si="119"/>
        <v>8.9821428571428488</v>
      </c>
      <c r="H111" s="75">
        <f t="shared" si="73"/>
        <v>0.79324055666003956</v>
      </c>
      <c r="I111" s="76">
        <f t="shared" si="74"/>
        <v>44.235033259423496</v>
      </c>
    </row>
    <row r="112" spans="1:9" x14ac:dyDescent="0.25">
      <c r="A112" s="73">
        <v>45572</v>
      </c>
      <c r="B112" s="74">
        <v>674.2</v>
      </c>
      <c r="C112" s="74">
        <f t="shared" si="69"/>
        <v>-25.299999999999955</v>
      </c>
      <c r="D112" s="74">
        <f t="shared" si="70"/>
        <v>0</v>
      </c>
      <c r="E112" s="74">
        <f t="shared" si="71"/>
        <v>25.299999999999955</v>
      </c>
      <c r="F112" s="75">
        <f t="shared" ref="F112:G112" si="120">AVERAGE(D112:D125)</f>
        <v>3.6714285714285699</v>
      </c>
      <c r="G112" s="75">
        <f t="shared" si="120"/>
        <v>10.628571428571425</v>
      </c>
      <c r="H112" s="75">
        <f t="shared" si="73"/>
        <v>0.34543010752688169</v>
      </c>
      <c r="I112" s="76">
        <f t="shared" si="74"/>
        <v>25.674325674325672</v>
      </c>
    </row>
    <row r="113" spans="1:9" x14ac:dyDescent="0.25">
      <c r="A113" s="73">
        <v>45569</v>
      </c>
      <c r="B113" s="74">
        <v>699.5</v>
      </c>
      <c r="C113" s="74">
        <f t="shared" si="69"/>
        <v>-9.1000000000000227</v>
      </c>
      <c r="D113" s="74">
        <f t="shared" si="70"/>
        <v>0</v>
      </c>
      <c r="E113" s="74">
        <f t="shared" si="71"/>
        <v>9.1000000000000227</v>
      </c>
      <c r="F113" s="75">
        <f t="shared" ref="F113:G113" si="121">AVERAGE(D113:D126)</f>
        <v>3.9107142857142856</v>
      </c>
      <c r="G113" s="75">
        <f t="shared" si="121"/>
        <v>8.8214285714285712</v>
      </c>
      <c r="H113" s="75">
        <f t="shared" si="73"/>
        <v>0.44331983805668018</v>
      </c>
      <c r="I113" s="76">
        <f t="shared" si="74"/>
        <v>30.715287517531564</v>
      </c>
    </row>
    <row r="114" spans="1:9" x14ac:dyDescent="0.25">
      <c r="A114" s="73">
        <v>45568</v>
      </c>
      <c r="B114" s="74">
        <v>708.6</v>
      </c>
      <c r="C114" s="74">
        <f t="shared" si="69"/>
        <v>-14.850000000000023</v>
      </c>
      <c r="D114" s="74">
        <f t="shared" si="70"/>
        <v>0</v>
      </c>
      <c r="E114" s="74">
        <f t="shared" si="71"/>
        <v>14.850000000000023</v>
      </c>
      <c r="F114" s="75">
        <f t="shared" ref="F114:G114" si="122">AVERAGE(D114:D127)</f>
        <v>4.4928571428571411</v>
      </c>
      <c r="G114" s="75">
        <f t="shared" si="122"/>
        <v>8.171428571428569</v>
      </c>
      <c r="H114" s="75">
        <f t="shared" si="73"/>
        <v>0.54982517482517479</v>
      </c>
      <c r="I114" s="76">
        <f t="shared" si="74"/>
        <v>35.476593344613647</v>
      </c>
    </row>
    <row r="115" spans="1:9" x14ac:dyDescent="0.25">
      <c r="A115" s="73">
        <v>45566</v>
      </c>
      <c r="B115" s="74">
        <v>723.45</v>
      </c>
      <c r="C115" s="74">
        <f t="shared" si="69"/>
        <v>-9.5999999999999091</v>
      </c>
      <c r="D115" s="74">
        <f t="shared" si="70"/>
        <v>0</v>
      </c>
      <c r="E115" s="74">
        <f t="shared" si="71"/>
        <v>9.5999999999999091</v>
      </c>
      <c r="F115" s="75">
        <f t="shared" ref="F115:G115" si="123">AVERAGE(D115:D128)</f>
        <v>5.8000000000000034</v>
      </c>
      <c r="G115" s="75">
        <f t="shared" si="123"/>
        <v>7.1107142857142822</v>
      </c>
      <c r="H115" s="75">
        <f t="shared" si="73"/>
        <v>0.8156705173279768</v>
      </c>
      <c r="I115" s="76">
        <f t="shared" si="74"/>
        <v>44.923928077455074</v>
      </c>
    </row>
    <row r="116" spans="1:9" x14ac:dyDescent="0.25">
      <c r="A116" s="73">
        <v>45565</v>
      </c>
      <c r="B116" s="74">
        <v>733.05</v>
      </c>
      <c r="C116" s="74">
        <f t="shared" si="69"/>
        <v>-7.25</v>
      </c>
      <c r="D116" s="74">
        <f t="shared" si="70"/>
        <v>0</v>
      </c>
      <c r="E116" s="74">
        <f t="shared" si="71"/>
        <v>7.25</v>
      </c>
      <c r="F116" s="75">
        <f t="shared" ref="F116:G116" si="124">AVERAGE(D116:D129)</f>
        <v>5.8000000000000034</v>
      </c>
      <c r="G116" s="75">
        <f t="shared" si="124"/>
        <v>6.5964285714285813</v>
      </c>
      <c r="H116" s="75">
        <f t="shared" si="73"/>
        <v>0.8792636708175412</v>
      </c>
      <c r="I116" s="76">
        <f t="shared" si="74"/>
        <v>46.787669259579353</v>
      </c>
    </row>
    <row r="117" spans="1:9" x14ac:dyDescent="0.25">
      <c r="A117" s="73">
        <v>45562</v>
      </c>
      <c r="B117" s="74">
        <v>740.3</v>
      </c>
      <c r="C117" s="74">
        <f t="shared" si="69"/>
        <v>-36.100000000000023</v>
      </c>
      <c r="D117" s="74">
        <f t="shared" si="70"/>
        <v>0</v>
      </c>
      <c r="E117" s="74">
        <f t="shared" si="71"/>
        <v>36.100000000000023</v>
      </c>
      <c r="F117" s="75">
        <f t="shared" ref="F117:G117" si="125">AVERAGE(D117:D130)</f>
        <v>6.7607142857142923</v>
      </c>
      <c r="G117" s="75">
        <f t="shared" si="125"/>
        <v>6.0785714285714381</v>
      </c>
      <c r="H117" s="75">
        <f t="shared" si="73"/>
        <v>1.112220916568742</v>
      </c>
      <c r="I117" s="76">
        <f t="shared" si="74"/>
        <v>52.656467315716256</v>
      </c>
    </row>
    <row r="118" spans="1:9" x14ac:dyDescent="0.25">
      <c r="A118" s="73">
        <v>45561</v>
      </c>
      <c r="B118" s="74">
        <v>776.4</v>
      </c>
      <c r="C118" s="74">
        <f t="shared" si="69"/>
        <v>-7.5</v>
      </c>
      <c r="D118" s="74">
        <f t="shared" si="70"/>
        <v>0</v>
      </c>
      <c r="E118" s="74">
        <f t="shared" si="71"/>
        <v>7.5</v>
      </c>
      <c r="F118" s="75">
        <f t="shared" ref="F118:G118" si="126">AVERAGE(D118:D131)</f>
        <v>8.2750000000000092</v>
      </c>
      <c r="G118" s="75">
        <f t="shared" si="126"/>
        <v>3.500000000000008</v>
      </c>
      <c r="H118" s="75">
        <f t="shared" si="73"/>
        <v>2.3642857142857117</v>
      </c>
      <c r="I118" s="76">
        <f t="shared" si="74"/>
        <v>70.276008492568977</v>
      </c>
    </row>
    <row r="119" spans="1:9" x14ac:dyDescent="0.25">
      <c r="A119" s="73">
        <v>45560</v>
      </c>
      <c r="B119" s="74">
        <v>783.9</v>
      </c>
      <c r="C119" s="74">
        <f t="shared" si="69"/>
        <v>-5.3999999999999773</v>
      </c>
      <c r="D119" s="74">
        <f t="shared" si="70"/>
        <v>0</v>
      </c>
      <c r="E119" s="74">
        <f t="shared" si="71"/>
        <v>5.3999999999999773</v>
      </c>
      <c r="F119" s="75">
        <f t="shared" ref="F119:G119" si="127">AVERAGE(D119:D132)</f>
        <v>8.2750000000000092</v>
      </c>
      <c r="G119" s="75">
        <f t="shared" si="127"/>
        <v>3.3142857142857287</v>
      </c>
      <c r="H119" s="75">
        <f t="shared" si="73"/>
        <v>2.4967672413793021</v>
      </c>
      <c r="I119" s="76">
        <f t="shared" si="74"/>
        <v>71.402157164868953</v>
      </c>
    </row>
    <row r="120" spans="1:9" x14ac:dyDescent="0.25">
      <c r="A120" s="73">
        <v>45559</v>
      </c>
      <c r="B120" s="74">
        <v>789.3</v>
      </c>
      <c r="C120" s="74">
        <f t="shared" si="69"/>
        <v>-2.75</v>
      </c>
      <c r="D120" s="74">
        <f t="shared" si="70"/>
        <v>0</v>
      </c>
      <c r="E120" s="74">
        <f t="shared" si="71"/>
        <v>2.75</v>
      </c>
      <c r="F120" s="75">
        <f t="shared" ref="F120:G120" si="128">AVERAGE(D120:D133)</f>
        <v>9.414285714285727</v>
      </c>
      <c r="G120" s="75">
        <f t="shared" si="128"/>
        <v>2.9285714285714448</v>
      </c>
      <c r="H120" s="75">
        <f t="shared" si="73"/>
        <v>3.2146341463414498</v>
      </c>
      <c r="I120" s="76">
        <f t="shared" si="74"/>
        <v>76.273148148148067</v>
      </c>
    </row>
    <row r="121" spans="1:9" x14ac:dyDescent="0.25">
      <c r="A121" s="73">
        <v>45558</v>
      </c>
      <c r="B121" s="74">
        <v>792.05</v>
      </c>
      <c r="C121" s="74">
        <f t="shared" si="69"/>
        <v>9.6999999999999318</v>
      </c>
      <c r="D121" s="74">
        <f t="shared" si="70"/>
        <v>9.6999999999999318</v>
      </c>
      <c r="E121" s="74">
        <f t="shared" si="71"/>
        <v>0</v>
      </c>
      <c r="F121" s="75">
        <f t="shared" ref="F121:G121" si="129">AVERAGE(D121:D134)</f>
        <v>9.8285714285714381</v>
      </c>
      <c r="G121" s="75">
        <f t="shared" si="129"/>
        <v>2.7321428571428732</v>
      </c>
      <c r="H121" s="75">
        <f t="shared" si="73"/>
        <v>3.597385620915015</v>
      </c>
      <c r="I121" s="76">
        <f t="shared" si="74"/>
        <v>78.248507250497497</v>
      </c>
    </row>
    <row r="122" spans="1:9" x14ac:dyDescent="0.25">
      <c r="A122" s="73">
        <v>45555</v>
      </c>
      <c r="B122" s="74">
        <v>782.35</v>
      </c>
      <c r="C122" s="74">
        <f t="shared" si="69"/>
        <v>39.5</v>
      </c>
      <c r="D122" s="74">
        <f t="shared" si="70"/>
        <v>39.5</v>
      </c>
      <c r="E122" s="74">
        <f t="shared" si="71"/>
        <v>0</v>
      </c>
      <c r="F122" s="75">
        <f t="shared" ref="F122:G122" si="130">AVERAGE(D122:D135)</f>
        <v>9.1357142857143003</v>
      </c>
      <c r="G122" s="75">
        <f t="shared" si="130"/>
        <v>3.6678571428571525</v>
      </c>
      <c r="H122" s="75">
        <f t="shared" si="73"/>
        <v>2.4907497565725389</v>
      </c>
      <c r="I122" s="76">
        <f t="shared" si="74"/>
        <v>71.352859135285897</v>
      </c>
    </row>
    <row r="123" spans="1:9" x14ac:dyDescent="0.25">
      <c r="A123" s="73">
        <v>45554</v>
      </c>
      <c r="B123" s="74">
        <v>742.85</v>
      </c>
      <c r="C123" s="74">
        <f t="shared" si="69"/>
        <v>-7.8999999999999773</v>
      </c>
      <c r="D123" s="74">
        <f t="shared" si="70"/>
        <v>0</v>
      </c>
      <c r="E123" s="74">
        <f t="shared" si="71"/>
        <v>7.8999999999999773</v>
      </c>
      <c r="F123" s="75">
        <f t="shared" ref="F123:G123" si="131">AVERAGE(D123:D136)</f>
        <v>6.3142857142857292</v>
      </c>
      <c r="G123" s="75">
        <f t="shared" si="131"/>
        <v>4.0500000000000114</v>
      </c>
      <c r="H123" s="75">
        <f t="shared" si="73"/>
        <v>1.559082892416225</v>
      </c>
      <c r="I123" s="76">
        <f t="shared" si="74"/>
        <v>60.923501033769803</v>
      </c>
    </row>
    <row r="124" spans="1:9" x14ac:dyDescent="0.25">
      <c r="A124" s="73">
        <v>45553</v>
      </c>
      <c r="B124" s="74">
        <v>750.75</v>
      </c>
      <c r="C124" s="74">
        <f t="shared" si="69"/>
        <v>2.2000000000000455</v>
      </c>
      <c r="D124" s="74">
        <f t="shared" si="70"/>
        <v>2.2000000000000455</v>
      </c>
      <c r="E124" s="74">
        <f t="shared" si="71"/>
        <v>0</v>
      </c>
      <c r="F124" s="75">
        <f t="shared" ref="F124:G124" si="132">AVERAGE(D124:D137)</f>
        <v>6.3142857142857292</v>
      </c>
      <c r="G124" s="75">
        <f t="shared" si="132"/>
        <v>4.1214285714285825</v>
      </c>
      <c r="H124" s="75">
        <f t="shared" si="73"/>
        <v>1.5320623916811087</v>
      </c>
      <c r="I124" s="76">
        <f t="shared" si="74"/>
        <v>60.506502395619428</v>
      </c>
    </row>
    <row r="125" spans="1:9" x14ac:dyDescent="0.25">
      <c r="A125" s="73">
        <v>45552</v>
      </c>
      <c r="B125" s="74">
        <v>748.55</v>
      </c>
      <c r="C125" s="74">
        <f t="shared" si="69"/>
        <v>-23.050000000000068</v>
      </c>
      <c r="D125" s="74">
        <f t="shared" si="70"/>
        <v>0</v>
      </c>
      <c r="E125" s="74">
        <f t="shared" si="71"/>
        <v>23.050000000000068</v>
      </c>
      <c r="F125" s="75">
        <f t="shared" ref="F125:G125" si="133">AVERAGE(D125:D138)</f>
        <v>6.1571428571428681</v>
      </c>
      <c r="G125" s="75">
        <f t="shared" si="133"/>
        <v>5.3035714285714448</v>
      </c>
      <c r="H125" s="75">
        <f t="shared" si="73"/>
        <v>1.1609427609427594</v>
      </c>
      <c r="I125" s="76">
        <f t="shared" si="74"/>
        <v>53.723901526955402</v>
      </c>
    </row>
    <row r="126" spans="1:9" x14ac:dyDescent="0.25">
      <c r="A126" s="73">
        <v>45551</v>
      </c>
      <c r="B126" s="74">
        <v>771.6</v>
      </c>
      <c r="C126" s="74">
        <f t="shared" si="69"/>
        <v>3.3500000000000227</v>
      </c>
      <c r="D126" s="74">
        <f t="shared" si="70"/>
        <v>3.3500000000000227</v>
      </c>
      <c r="E126" s="74">
        <f t="shared" si="71"/>
        <v>0</v>
      </c>
      <c r="F126" s="75">
        <f t="shared" ref="F126:G126" si="134">AVERAGE(D126:D139)</f>
        <v>6.4071428571428681</v>
      </c>
      <c r="G126" s="75">
        <f t="shared" si="134"/>
        <v>3.6571428571428686</v>
      </c>
      <c r="H126" s="75">
        <f t="shared" si="73"/>
        <v>1.7519531249999976</v>
      </c>
      <c r="I126" s="76">
        <f t="shared" si="74"/>
        <v>63.662171753016288</v>
      </c>
    </row>
    <row r="127" spans="1:9" x14ac:dyDescent="0.25">
      <c r="A127" s="73">
        <v>45548</v>
      </c>
      <c r="B127" s="74">
        <v>768.25</v>
      </c>
      <c r="C127" s="74">
        <f t="shared" si="69"/>
        <v>8.1499999999999773</v>
      </c>
      <c r="D127" s="74">
        <f t="shared" si="70"/>
        <v>8.1499999999999773</v>
      </c>
      <c r="E127" s="74">
        <f t="shared" si="71"/>
        <v>0</v>
      </c>
      <c r="F127" s="75">
        <f t="shared" ref="F127:G127" si="135">AVERAGE(D127:D140)</f>
        <v>7.4214285714285859</v>
      </c>
      <c r="G127" s="75">
        <f t="shared" si="135"/>
        <v>3.6571428571428686</v>
      </c>
      <c r="H127" s="75">
        <f t="shared" si="73"/>
        <v>2.0292968749999978</v>
      </c>
      <c r="I127" s="76">
        <f t="shared" si="74"/>
        <v>66.989039329464845</v>
      </c>
    </row>
    <row r="128" spans="1:9" x14ac:dyDescent="0.25">
      <c r="A128" s="73">
        <v>45547</v>
      </c>
      <c r="B128" s="74">
        <v>760.1</v>
      </c>
      <c r="C128" s="74">
        <f t="shared" si="69"/>
        <v>18.300000000000068</v>
      </c>
      <c r="D128" s="74">
        <f t="shared" si="70"/>
        <v>18.300000000000068</v>
      </c>
      <c r="E128" s="74">
        <f t="shared" si="71"/>
        <v>0</v>
      </c>
      <c r="F128" s="75">
        <f t="shared" ref="F128:G128" si="136">AVERAGE(D128:D141)</f>
        <v>7.6750000000000114</v>
      </c>
      <c r="G128" s="75">
        <f t="shared" si="136"/>
        <v>3.6571428571428686</v>
      </c>
      <c r="H128" s="75">
        <f t="shared" si="73"/>
        <v>2.0986328124999964</v>
      </c>
      <c r="I128" s="76">
        <f t="shared" si="74"/>
        <v>67.727702489757291</v>
      </c>
    </row>
    <row r="129" spans="1:9" x14ac:dyDescent="0.25">
      <c r="A129" s="73">
        <v>45546</v>
      </c>
      <c r="B129" s="74">
        <v>741.8</v>
      </c>
      <c r="C129" s="74">
        <f t="shared" si="69"/>
        <v>-2.4000000000000909</v>
      </c>
      <c r="D129" s="74">
        <f t="shared" si="70"/>
        <v>0</v>
      </c>
      <c r="E129" s="74">
        <f t="shared" si="71"/>
        <v>2.4000000000000909</v>
      </c>
      <c r="F129" s="75">
        <f t="shared" ref="F129:G129" si="137">AVERAGE(D129:D142)</f>
        <v>6.3678571428571491</v>
      </c>
      <c r="G129" s="75">
        <f t="shared" si="137"/>
        <v>4.1464285714285847</v>
      </c>
      <c r="H129" s="75">
        <f t="shared" si="73"/>
        <v>1.535745047372951</v>
      </c>
      <c r="I129" s="76">
        <f t="shared" si="74"/>
        <v>60.563858695652122</v>
      </c>
    </row>
    <row r="130" spans="1:9" x14ac:dyDescent="0.25">
      <c r="A130" s="73">
        <v>45545</v>
      </c>
      <c r="B130" s="74">
        <v>744.2</v>
      </c>
      <c r="C130" s="74">
        <f t="shared" ref="C130:C193" si="138">B130-B131</f>
        <v>13.450000000000045</v>
      </c>
      <c r="D130" s="74">
        <f t="shared" ref="D130:D193" si="139">IF(C130&gt;0,C130,0)</f>
        <v>13.450000000000045</v>
      </c>
      <c r="E130" s="74">
        <f t="shared" ref="E130:E193" si="140">IF(C130&gt;0,0,ABS(C130))</f>
        <v>0</v>
      </c>
      <c r="F130" s="75">
        <f t="shared" ref="F130:G130" si="141">AVERAGE(D130:D143)</f>
        <v>6.3678571428571491</v>
      </c>
      <c r="G130" s="75">
        <f t="shared" si="141"/>
        <v>4.6321428571428589</v>
      </c>
      <c r="H130" s="75">
        <f t="shared" ref="H130:H193" si="142">F130/G130</f>
        <v>1.374710871241327</v>
      </c>
      <c r="I130" s="76">
        <f t="shared" ref="I130:I193" si="143">IF(G130=0,100,100-(100/(1+H130)))</f>
        <v>57.889610389610404</v>
      </c>
    </row>
    <row r="131" spans="1:9" x14ac:dyDescent="0.25">
      <c r="A131" s="73">
        <v>45544</v>
      </c>
      <c r="B131" s="74">
        <v>730.75</v>
      </c>
      <c r="C131" s="74">
        <f t="shared" si="138"/>
        <v>21.200000000000045</v>
      </c>
      <c r="D131" s="74">
        <f t="shared" si="139"/>
        <v>21.200000000000045</v>
      </c>
      <c r="E131" s="74">
        <f t="shared" si="140"/>
        <v>0</v>
      </c>
      <c r="F131" s="75">
        <f t="shared" ref="F131:G131" si="144">AVERAGE(D131:D144)</f>
        <v>6.1214285714285745</v>
      </c>
      <c r="G131" s="75">
        <f t="shared" si="144"/>
        <v>4.6321428571428589</v>
      </c>
      <c r="H131" s="75">
        <f t="shared" si="142"/>
        <v>1.3215111796453356</v>
      </c>
      <c r="I131" s="76">
        <f t="shared" si="143"/>
        <v>56.924609764197946</v>
      </c>
    </row>
    <row r="132" spans="1:9" x14ac:dyDescent="0.25">
      <c r="A132" s="73">
        <v>45541</v>
      </c>
      <c r="B132" s="74">
        <v>709.55</v>
      </c>
      <c r="C132" s="74">
        <f t="shared" si="138"/>
        <v>-4.9000000000000909</v>
      </c>
      <c r="D132" s="74">
        <f t="shared" si="139"/>
        <v>0</v>
      </c>
      <c r="E132" s="74">
        <f t="shared" si="140"/>
        <v>4.9000000000000909</v>
      </c>
      <c r="F132" s="75">
        <f t="shared" ref="F132:G132" si="145">AVERAGE(D132:D145)</f>
        <v>7.5607142857142877</v>
      </c>
      <c r="G132" s="75">
        <f t="shared" si="145"/>
        <v>4.6321428571428589</v>
      </c>
      <c r="H132" s="75">
        <f t="shared" si="142"/>
        <v>1.6322282189668464</v>
      </c>
      <c r="I132" s="76">
        <f t="shared" si="143"/>
        <v>62.009373169302869</v>
      </c>
    </row>
    <row r="133" spans="1:9" x14ac:dyDescent="0.25">
      <c r="A133" s="73">
        <v>45540</v>
      </c>
      <c r="B133" s="74">
        <v>714.45</v>
      </c>
      <c r="C133" s="74">
        <f t="shared" si="138"/>
        <v>15.950000000000045</v>
      </c>
      <c r="D133" s="74">
        <f t="shared" si="139"/>
        <v>15.950000000000045</v>
      </c>
      <c r="E133" s="74">
        <f t="shared" si="140"/>
        <v>0</v>
      </c>
      <c r="F133" s="75">
        <f t="shared" ref="F133:G133" si="146">AVERAGE(D133:D146)</f>
        <v>7.8107142857142877</v>
      </c>
      <c r="G133" s="75">
        <f t="shared" si="146"/>
        <v>4.2821428571428521</v>
      </c>
      <c r="H133" s="75">
        <f t="shared" si="142"/>
        <v>1.8240200166805698</v>
      </c>
      <c r="I133" s="76">
        <f t="shared" si="143"/>
        <v>64.589486119314856</v>
      </c>
    </row>
    <row r="134" spans="1:9" x14ac:dyDescent="0.25">
      <c r="A134" s="73">
        <v>45539</v>
      </c>
      <c r="B134" s="74">
        <v>698.5</v>
      </c>
      <c r="C134" s="74">
        <f t="shared" si="138"/>
        <v>5.7999999999999545</v>
      </c>
      <c r="D134" s="74">
        <f t="shared" si="139"/>
        <v>5.7999999999999545</v>
      </c>
      <c r="E134" s="74">
        <f t="shared" si="140"/>
        <v>0</v>
      </c>
      <c r="F134" s="75">
        <f t="shared" ref="F134:G134" si="147">AVERAGE(D134:D147)</f>
        <v>8.0357142857142776</v>
      </c>
      <c r="G134" s="75">
        <f t="shared" si="147"/>
        <v>4.2821428571428521</v>
      </c>
      <c r="H134" s="75">
        <f t="shared" si="142"/>
        <v>1.8765638031693082</v>
      </c>
      <c r="I134" s="76">
        <f t="shared" si="143"/>
        <v>65.236300376920852</v>
      </c>
    </row>
    <row r="135" spans="1:9" x14ac:dyDescent="0.25">
      <c r="A135" s="73">
        <v>45538</v>
      </c>
      <c r="B135" s="74">
        <v>692.7</v>
      </c>
      <c r="C135" s="74">
        <f t="shared" si="138"/>
        <v>-13.099999999999909</v>
      </c>
      <c r="D135" s="74">
        <f t="shared" si="139"/>
        <v>0</v>
      </c>
      <c r="E135" s="74">
        <f t="shared" si="140"/>
        <v>13.099999999999909</v>
      </c>
      <c r="F135" s="75">
        <f t="shared" ref="F135:G135" si="148">AVERAGE(D135:D148)</f>
        <v>7.6214285714285666</v>
      </c>
      <c r="G135" s="75">
        <f t="shared" si="148"/>
        <v>6.1821428571428454</v>
      </c>
      <c r="H135" s="75">
        <f t="shared" si="142"/>
        <v>1.2328134026574251</v>
      </c>
      <c r="I135" s="76">
        <f t="shared" si="143"/>
        <v>55.213454075032374</v>
      </c>
    </row>
    <row r="136" spans="1:9" x14ac:dyDescent="0.25">
      <c r="A136" s="73">
        <v>45537</v>
      </c>
      <c r="B136" s="74">
        <v>705.8</v>
      </c>
      <c r="C136" s="74">
        <f t="shared" si="138"/>
        <v>-5.3500000000000227</v>
      </c>
      <c r="D136" s="74">
        <f t="shared" si="139"/>
        <v>0</v>
      </c>
      <c r="E136" s="74">
        <f t="shared" si="140"/>
        <v>5.3500000000000227</v>
      </c>
      <c r="F136" s="75">
        <f t="shared" ref="F136:G136" si="149">AVERAGE(D136:D149)</f>
        <v>7.6214285714285666</v>
      </c>
      <c r="G136" s="75">
        <f t="shared" si="149"/>
        <v>6.4285714285714288</v>
      </c>
      <c r="H136" s="75">
        <f t="shared" si="142"/>
        <v>1.1855555555555548</v>
      </c>
      <c r="I136" s="76">
        <f t="shared" si="143"/>
        <v>54.245043213014725</v>
      </c>
    </row>
    <row r="137" spans="1:9" x14ac:dyDescent="0.25">
      <c r="A137" s="73">
        <v>45534</v>
      </c>
      <c r="B137" s="74">
        <v>711.15</v>
      </c>
      <c r="C137" s="74">
        <f t="shared" si="138"/>
        <v>-8.8999999999999773</v>
      </c>
      <c r="D137" s="74">
        <f t="shared" si="139"/>
        <v>0</v>
      </c>
      <c r="E137" s="74">
        <f t="shared" si="140"/>
        <v>8.8999999999999773</v>
      </c>
      <c r="F137" s="75">
        <f t="shared" ref="F137:G137" si="150">AVERAGE(D137:D150)</f>
        <v>7.6214285714285666</v>
      </c>
      <c r="G137" s="75">
        <f t="shared" si="150"/>
        <v>7.039285714285711</v>
      </c>
      <c r="H137" s="75">
        <f t="shared" si="142"/>
        <v>1.0826991374936579</v>
      </c>
      <c r="I137" s="76">
        <f t="shared" si="143"/>
        <v>51.985383678440925</v>
      </c>
    </row>
    <row r="138" spans="1:9" x14ac:dyDescent="0.25">
      <c r="A138" s="73">
        <v>45533</v>
      </c>
      <c r="B138" s="74">
        <v>720.05</v>
      </c>
      <c r="C138" s="74">
        <f t="shared" si="138"/>
        <v>-16.550000000000068</v>
      </c>
      <c r="D138" s="74">
        <f t="shared" si="139"/>
        <v>0</v>
      </c>
      <c r="E138" s="74">
        <f t="shared" si="140"/>
        <v>16.550000000000068</v>
      </c>
      <c r="F138" s="75">
        <f t="shared" ref="F138:G138" si="151">AVERAGE(D138:D151)</f>
        <v>7.874999999999992</v>
      </c>
      <c r="G138" s="75">
        <f t="shared" si="151"/>
        <v>6.4035714285714267</v>
      </c>
      <c r="H138" s="75">
        <f t="shared" si="142"/>
        <v>1.2297824874511982</v>
      </c>
      <c r="I138" s="76">
        <f t="shared" si="143"/>
        <v>55.152576288144054</v>
      </c>
    </row>
    <row r="139" spans="1:9" x14ac:dyDescent="0.25">
      <c r="A139" s="73">
        <v>45532</v>
      </c>
      <c r="B139" s="74">
        <v>736.6</v>
      </c>
      <c r="C139" s="74">
        <f t="shared" si="138"/>
        <v>3.5</v>
      </c>
      <c r="D139" s="74">
        <f t="shared" si="139"/>
        <v>3.5</v>
      </c>
      <c r="E139" s="74">
        <f t="shared" si="140"/>
        <v>0</v>
      </c>
      <c r="F139" s="75">
        <f t="shared" ref="F139:G139" si="152">AVERAGE(D139:D152)</f>
        <v>8.5499999999999954</v>
      </c>
      <c r="G139" s="75">
        <f t="shared" si="152"/>
        <v>5.2214285714285653</v>
      </c>
      <c r="H139" s="75">
        <f t="shared" si="142"/>
        <v>1.6374829001367999</v>
      </c>
      <c r="I139" s="76">
        <f t="shared" si="143"/>
        <v>62.085062240663916</v>
      </c>
    </row>
    <row r="140" spans="1:9" x14ac:dyDescent="0.25">
      <c r="A140" s="73">
        <v>45531</v>
      </c>
      <c r="B140" s="74">
        <v>733.1</v>
      </c>
      <c r="C140" s="74">
        <f t="shared" si="138"/>
        <v>17.550000000000068</v>
      </c>
      <c r="D140" s="74">
        <f t="shared" si="139"/>
        <v>17.550000000000068</v>
      </c>
      <c r="E140" s="74">
        <f t="shared" si="140"/>
        <v>0</v>
      </c>
      <c r="F140" s="75">
        <f t="shared" ref="F140:G140" si="153">AVERAGE(D140:D153)</f>
        <v>8.7714285714285687</v>
      </c>
      <c r="G140" s="75">
        <f t="shared" si="153"/>
        <v>5.2214285714285653</v>
      </c>
      <c r="H140" s="75">
        <f t="shared" si="142"/>
        <v>1.6798905608755144</v>
      </c>
      <c r="I140" s="76">
        <f t="shared" si="143"/>
        <v>62.685043389484449</v>
      </c>
    </row>
    <row r="141" spans="1:9" x14ac:dyDescent="0.25">
      <c r="A141" s="73">
        <v>45530</v>
      </c>
      <c r="B141" s="74">
        <v>715.55</v>
      </c>
      <c r="C141" s="74">
        <f t="shared" si="138"/>
        <v>11.699999999999932</v>
      </c>
      <c r="D141" s="74">
        <f t="shared" si="139"/>
        <v>11.699999999999932</v>
      </c>
      <c r="E141" s="74">
        <f t="shared" si="140"/>
        <v>0</v>
      </c>
      <c r="F141" s="75">
        <f t="shared" ref="F141:G141" si="154">AVERAGE(D141:D154)</f>
        <v>7.5178571428571344</v>
      </c>
      <c r="G141" s="75">
        <f t="shared" si="154"/>
        <v>5.2964285714285699</v>
      </c>
      <c r="H141" s="75">
        <f t="shared" si="142"/>
        <v>1.4194200944032356</v>
      </c>
      <c r="I141" s="76">
        <f t="shared" si="143"/>
        <v>58.667781493868432</v>
      </c>
    </row>
    <row r="142" spans="1:9" x14ac:dyDescent="0.25">
      <c r="A142" s="73">
        <v>45527</v>
      </c>
      <c r="B142" s="74">
        <v>703.85</v>
      </c>
      <c r="C142" s="74">
        <f t="shared" si="138"/>
        <v>-6.8500000000000227</v>
      </c>
      <c r="D142" s="74">
        <f t="shared" si="139"/>
        <v>0</v>
      </c>
      <c r="E142" s="74">
        <f t="shared" si="140"/>
        <v>6.8500000000000227</v>
      </c>
      <c r="F142" s="75">
        <f t="shared" ref="F142:G142" si="155">AVERAGE(D142:D155)</f>
        <v>6.6821428571428543</v>
      </c>
      <c r="G142" s="75">
        <f t="shared" si="155"/>
        <v>7.9821428571428488</v>
      </c>
      <c r="H142" s="75">
        <f t="shared" si="142"/>
        <v>0.83713646532438535</v>
      </c>
      <c r="I142" s="76">
        <f t="shared" si="143"/>
        <v>45.567462250365338</v>
      </c>
    </row>
    <row r="143" spans="1:9" x14ac:dyDescent="0.25">
      <c r="A143" s="73">
        <v>45526</v>
      </c>
      <c r="B143" s="74">
        <v>710.7</v>
      </c>
      <c r="C143" s="74">
        <f t="shared" si="138"/>
        <v>-9.1999999999999318</v>
      </c>
      <c r="D143" s="74">
        <f t="shared" si="139"/>
        <v>0</v>
      </c>
      <c r="E143" s="74">
        <f t="shared" si="140"/>
        <v>9.1999999999999318</v>
      </c>
      <c r="F143" s="75">
        <f t="shared" ref="F143:G143" si="156">AVERAGE(D143:D156)</f>
        <v>6.6821428571428543</v>
      </c>
      <c r="G143" s="75">
        <f t="shared" si="156"/>
        <v>7.8928571428571344</v>
      </c>
      <c r="H143" s="75">
        <f t="shared" si="142"/>
        <v>0.8466063348416295</v>
      </c>
      <c r="I143" s="76">
        <f t="shared" si="143"/>
        <v>45.846606223964727</v>
      </c>
    </row>
    <row r="144" spans="1:9" x14ac:dyDescent="0.25">
      <c r="A144" s="73">
        <v>45525</v>
      </c>
      <c r="B144" s="74">
        <v>719.9</v>
      </c>
      <c r="C144" s="74">
        <f t="shared" si="138"/>
        <v>10</v>
      </c>
      <c r="D144" s="74">
        <f t="shared" si="139"/>
        <v>10</v>
      </c>
      <c r="E144" s="74">
        <f t="shared" si="140"/>
        <v>0</v>
      </c>
      <c r="F144" s="75">
        <f t="shared" ref="F144:G144" si="157">AVERAGE(D144:D157)</f>
        <v>6.6821428571428543</v>
      </c>
      <c r="G144" s="75">
        <f t="shared" si="157"/>
        <v>7.2607142857142843</v>
      </c>
      <c r="H144" s="75">
        <f t="shared" si="142"/>
        <v>0.92031480570585322</v>
      </c>
      <c r="I144" s="76">
        <f t="shared" si="143"/>
        <v>47.925204918032783</v>
      </c>
    </row>
    <row r="145" spans="1:9" x14ac:dyDescent="0.25">
      <c r="A145" s="73">
        <v>45524</v>
      </c>
      <c r="B145" s="74">
        <v>709.9</v>
      </c>
      <c r="C145" s="74">
        <f t="shared" si="138"/>
        <v>41.350000000000023</v>
      </c>
      <c r="D145" s="74">
        <f t="shared" si="139"/>
        <v>41.350000000000023</v>
      </c>
      <c r="E145" s="74">
        <f t="shared" si="140"/>
        <v>0</v>
      </c>
      <c r="F145" s="75">
        <f t="shared" ref="F145:G145" si="158">AVERAGE(D145:D158)</f>
        <v>6.8785714285714255</v>
      </c>
      <c r="G145" s="75">
        <f t="shared" si="158"/>
        <v>7.2607142857142843</v>
      </c>
      <c r="H145" s="75">
        <f t="shared" si="142"/>
        <v>0.9473684210526313</v>
      </c>
      <c r="I145" s="76">
        <f t="shared" si="143"/>
        <v>48.648648648648646</v>
      </c>
    </row>
    <row r="146" spans="1:9" x14ac:dyDescent="0.25">
      <c r="A146" s="73">
        <v>45523</v>
      </c>
      <c r="B146" s="74">
        <v>668.55</v>
      </c>
      <c r="C146" s="74">
        <f t="shared" si="138"/>
        <v>3.5</v>
      </c>
      <c r="D146" s="74">
        <f t="shared" si="139"/>
        <v>3.5</v>
      </c>
      <c r="E146" s="74">
        <f t="shared" si="140"/>
        <v>0</v>
      </c>
      <c r="F146" s="75">
        <f t="shared" ref="F146:G146" si="159">AVERAGE(D146:D159)</f>
        <v>5.5678571428571377</v>
      </c>
      <c r="G146" s="75">
        <f t="shared" si="159"/>
        <v>7.2607142857142843</v>
      </c>
      <c r="H146" s="75">
        <f t="shared" si="142"/>
        <v>0.76684702410231131</v>
      </c>
      <c r="I146" s="76">
        <f t="shared" si="143"/>
        <v>43.402004454342965</v>
      </c>
    </row>
    <row r="147" spans="1:9" x14ac:dyDescent="0.25">
      <c r="A147" s="73">
        <v>45520</v>
      </c>
      <c r="B147" s="74">
        <v>665.05</v>
      </c>
      <c r="C147" s="74">
        <f t="shared" si="138"/>
        <v>19.099999999999909</v>
      </c>
      <c r="D147" s="74">
        <f t="shared" si="139"/>
        <v>19.099999999999909</v>
      </c>
      <c r="E147" s="74">
        <f t="shared" si="140"/>
        <v>0</v>
      </c>
      <c r="F147" s="75">
        <f t="shared" ref="F147:G147" si="160">AVERAGE(D147:D160)</f>
        <v>5.3178571428571377</v>
      </c>
      <c r="G147" s="75">
        <f t="shared" si="160"/>
        <v>7.3535714285714233</v>
      </c>
      <c r="H147" s="75">
        <f t="shared" si="142"/>
        <v>0.72316658572122372</v>
      </c>
      <c r="I147" s="76">
        <f t="shared" si="143"/>
        <v>41.967305524239002</v>
      </c>
    </row>
    <row r="148" spans="1:9" x14ac:dyDescent="0.25">
      <c r="A148" s="73">
        <v>45518</v>
      </c>
      <c r="B148" s="74">
        <v>645.95000000000005</v>
      </c>
      <c r="C148" s="74">
        <f t="shared" si="138"/>
        <v>-26.599999999999909</v>
      </c>
      <c r="D148" s="74">
        <f t="shared" si="139"/>
        <v>0</v>
      </c>
      <c r="E148" s="74">
        <f t="shared" si="140"/>
        <v>26.599999999999909</v>
      </c>
      <c r="F148" s="75">
        <f t="shared" ref="F148:G148" si="161">AVERAGE(D148:D161)</f>
        <v>5.7678571428571432</v>
      </c>
      <c r="G148" s="75">
        <f t="shared" si="161"/>
        <v>7.3535714285714233</v>
      </c>
      <c r="H148" s="75">
        <f t="shared" si="142"/>
        <v>0.78436134045653294</v>
      </c>
      <c r="I148" s="76">
        <f t="shared" si="143"/>
        <v>43.957539466521517</v>
      </c>
    </row>
    <row r="149" spans="1:9" x14ac:dyDescent="0.25">
      <c r="A149" s="73">
        <v>45517</v>
      </c>
      <c r="B149" s="74">
        <v>672.55</v>
      </c>
      <c r="C149" s="74">
        <f t="shared" si="138"/>
        <v>-16.550000000000068</v>
      </c>
      <c r="D149" s="74">
        <f t="shared" si="139"/>
        <v>0</v>
      </c>
      <c r="E149" s="74">
        <f t="shared" si="140"/>
        <v>16.550000000000068</v>
      </c>
      <c r="F149" s="75">
        <f t="shared" ref="F149:G149" si="162">AVERAGE(D149:D162)</f>
        <v>5.7678571428571432</v>
      </c>
      <c r="G149" s="75">
        <f t="shared" si="162"/>
        <v>6.4678571428571479</v>
      </c>
      <c r="H149" s="75">
        <f t="shared" si="142"/>
        <v>0.89177250138045216</v>
      </c>
      <c r="I149" s="76">
        <f t="shared" si="143"/>
        <v>47.139521307647385</v>
      </c>
    </row>
    <row r="150" spans="1:9" x14ac:dyDescent="0.25">
      <c r="A150" s="73">
        <v>45516</v>
      </c>
      <c r="B150" s="74">
        <v>689.1</v>
      </c>
      <c r="C150" s="74">
        <f t="shared" si="138"/>
        <v>-13.899999999999977</v>
      </c>
      <c r="D150" s="74">
        <f t="shared" si="139"/>
        <v>0</v>
      </c>
      <c r="E150" s="74">
        <f t="shared" si="140"/>
        <v>13.899999999999977</v>
      </c>
      <c r="F150" s="75">
        <f t="shared" ref="F150:G150" si="163">AVERAGE(D150:D163)</f>
        <v>5.7678571428571432</v>
      </c>
      <c r="G150" s="75">
        <f t="shared" si="163"/>
        <v>6.3392857142857144</v>
      </c>
      <c r="H150" s="75">
        <f t="shared" si="142"/>
        <v>0.90985915492957747</v>
      </c>
      <c r="I150" s="76">
        <f t="shared" si="143"/>
        <v>47.640117994100301</v>
      </c>
    </row>
    <row r="151" spans="1:9" x14ac:dyDescent="0.25">
      <c r="A151" s="73">
        <v>45513</v>
      </c>
      <c r="B151" s="74">
        <v>703</v>
      </c>
      <c r="C151" s="74">
        <f t="shared" si="138"/>
        <v>3.5499999999999545</v>
      </c>
      <c r="D151" s="74">
        <f t="shared" si="139"/>
        <v>3.5499999999999545</v>
      </c>
      <c r="E151" s="74">
        <f t="shared" si="140"/>
        <v>0</v>
      </c>
      <c r="F151" s="75">
        <f t="shared" ref="F151:G151" si="164">AVERAGE(D151:D164)</f>
        <v>5.7678571428571432</v>
      </c>
      <c r="G151" s="75">
        <f t="shared" si="164"/>
        <v>6.2535714285714255</v>
      </c>
      <c r="H151" s="75">
        <f t="shared" si="142"/>
        <v>0.92233009708737912</v>
      </c>
      <c r="I151" s="76">
        <f t="shared" si="143"/>
        <v>47.979797979797993</v>
      </c>
    </row>
    <row r="152" spans="1:9" x14ac:dyDescent="0.25">
      <c r="A152" s="73">
        <v>45512</v>
      </c>
      <c r="B152" s="74">
        <v>699.45</v>
      </c>
      <c r="C152" s="74">
        <f t="shared" si="138"/>
        <v>9.4500000000000455</v>
      </c>
      <c r="D152" s="74">
        <f t="shared" si="139"/>
        <v>9.4500000000000455</v>
      </c>
      <c r="E152" s="74">
        <f t="shared" si="140"/>
        <v>0</v>
      </c>
      <c r="F152" s="75">
        <f t="shared" ref="F152:G152" si="165">AVERAGE(D152:D165)</f>
        <v>5.8571428571428568</v>
      </c>
      <c r="G152" s="75">
        <f t="shared" si="165"/>
        <v>6.2535714285714255</v>
      </c>
      <c r="H152" s="75">
        <f t="shared" si="142"/>
        <v>0.93660765276984626</v>
      </c>
      <c r="I152" s="76">
        <f t="shared" si="143"/>
        <v>48.363314656443535</v>
      </c>
    </row>
    <row r="153" spans="1:9" x14ac:dyDescent="0.25">
      <c r="A153" s="73">
        <v>45511</v>
      </c>
      <c r="B153" s="74">
        <v>690</v>
      </c>
      <c r="C153" s="74">
        <f t="shared" si="138"/>
        <v>6.6000000000000227</v>
      </c>
      <c r="D153" s="74">
        <f t="shared" si="139"/>
        <v>6.6000000000000227</v>
      </c>
      <c r="E153" s="74">
        <f t="shared" si="140"/>
        <v>0</v>
      </c>
      <c r="F153" s="75">
        <f t="shared" ref="F153:G153" si="166">AVERAGE(D153:D166)</f>
        <v>5.1821428571428543</v>
      </c>
      <c r="G153" s="75">
        <f t="shared" si="166"/>
        <v>6.8071428571428543</v>
      </c>
      <c r="H153" s="75">
        <f t="shared" si="142"/>
        <v>0.76128016789087083</v>
      </c>
      <c r="I153" s="76">
        <f t="shared" si="143"/>
        <v>43.223115877271368</v>
      </c>
    </row>
    <row r="154" spans="1:9" x14ac:dyDescent="0.25">
      <c r="A154" s="73">
        <v>45510</v>
      </c>
      <c r="B154" s="74">
        <v>683.4</v>
      </c>
      <c r="C154" s="74">
        <f t="shared" si="138"/>
        <v>-1.0500000000000682</v>
      </c>
      <c r="D154" s="74">
        <f t="shared" si="139"/>
        <v>0</v>
      </c>
      <c r="E154" s="74">
        <f t="shared" si="140"/>
        <v>1.0500000000000682</v>
      </c>
      <c r="F154" s="75">
        <f t="shared" ref="F154:G154" si="167">AVERAGE(D154:D167)</f>
        <v>5.0249999999999932</v>
      </c>
      <c r="G154" s="75">
        <f t="shared" si="167"/>
        <v>6.8071428571428543</v>
      </c>
      <c r="H154" s="75">
        <f t="shared" si="142"/>
        <v>0.73819517313745997</v>
      </c>
      <c r="I154" s="76">
        <f t="shared" si="143"/>
        <v>42.469061273769981</v>
      </c>
    </row>
    <row r="155" spans="1:9" x14ac:dyDescent="0.25">
      <c r="A155" s="73">
        <v>45509</v>
      </c>
      <c r="B155" s="74">
        <v>684.45</v>
      </c>
      <c r="C155" s="74">
        <f t="shared" si="138"/>
        <v>-37.599999999999909</v>
      </c>
      <c r="D155" s="74">
        <f t="shared" si="139"/>
        <v>0</v>
      </c>
      <c r="E155" s="74">
        <f t="shared" si="140"/>
        <v>37.599999999999909</v>
      </c>
      <c r="F155" s="75">
        <f t="shared" ref="F155:G155" si="168">AVERAGE(D155:D168)</f>
        <v>5.0249999999999932</v>
      </c>
      <c r="G155" s="75">
        <f t="shared" si="168"/>
        <v>7.5964285714285653</v>
      </c>
      <c r="H155" s="75">
        <f t="shared" si="142"/>
        <v>0.66149506346967524</v>
      </c>
      <c r="I155" s="76">
        <f t="shared" si="143"/>
        <v>39.813242784380293</v>
      </c>
    </row>
    <row r="156" spans="1:9" x14ac:dyDescent="0.25">
      <c r="A156" s="73">
        <v>45506</v>
      </c>
      <c r="B156" s="74">
        <v>722.05</v>
      </c>
      <c r="C156" s="74">
        <f t="shared" si="138"/>
        <v>-5.6000000000000227</v>
      </c>
      <c r="D156" s="74">
        <f t="shared" si="139"/>
        <v>0</v>
      </c>
      <c r="E156" s="74">
        <f t="shared" si="140"/>
        <v>5.6000000000000227</v>
      </c>
      <c r="F156" s="75">
        <f t="shared" ref="F156:G156" si="169">AVERAGE(D156:D169)</f>
        <v>5.5464285714285699</v>
      </c>
      <c r="G156" s="75">
        <f t="shared" si="169"/>
        <v>4.9107142857142856</v>
      </c>
      <c r="H156" s="75">
        <f t="shared" si="142"/>
        <v>1.1294545454545453</v>
      </c>
      <c r="I156" s="76">
        <f t="shared" si="143"/>
        <v>53.039617486338798</v>
      </c>
    </row>
    <row r="157" spans="1:9" x14ac:dyDescent="0.25">
      <c r="A157" s="73">
        <v>45505</v>
      </c>
      <c r="B157" s="74">
        <v>727.65</v>
      </c>
      <c r="C157" s="74">
        <f t="shared" si="138"/>
        <v>-0.35000000000002274</v>
      </c>
      <c r="D157" s="74">
        <f t="shared" si="139"/>
        <v>0</v>
      </c>
      <c r="E157" s="74">
        <f t="shared" si="140"/>
        <v>0.35000000000002274</v>
      </c>
      <c r="F157" s="75">
        <f t="shared" ref="F157:G157" si="170">AVERAGE(D157:D170)</f>
        <v>5.5571428571428543</v>
      </c>
      <c r="G157" s="75">
        <f t="shared" si="170"/>
        <v>4.5107142857142843</v>
      </c>
      <c r="H157" s="75">
        <f t="shared" si="142"/>
        <v>1.2319873317498018</v>
      </c>
      <c r="I157" s="76">
        <f t="shared" si="143"/>
        <v>55.19687832564739</v>
      </c>
    </row>
    <row r="158" spans="1:9" x14ac:dyDescent="0.25">
      <c r="A158" s="73">
        <v>45504</v>
      </c>
      <c r="B158" s="74">
        <v>728</v>
      </c>
      <c r="C158" s="74">
        <f t="shared" si="138"/>
        <v>12.75</v>
      </c>
      <c r="D158" s="74">
        <f t="shared" si="139"/>
        <v>12.75</v>
      </c>
      <c r="E158" s="74">
        <f t="shared" si="140"/>
        <v>0</v>
      </c>
      <c r="F158" s="75">
        <f t="shared" ref="F158:G158" si="171">AVERAGE(D158:D171)</f>
        <v>5.5571428571428543</v>
      </c>
      <c r="G158" s="75">
        <f t="shared" si="171"/>
        <v>5.2999999999999954</v>
      </c>
      <c r="H158" s="75">
        <f t="shared" si="142"/>
        <v>1.0485175202156338</v>
      </c>
      <c r="I158" s="76">
        <f t="shared" si="143"/>
        <v>51.184210526315795</v>
      </c>
    </row>
    <row r="159" spans="1:9" x14ac:dyDescent="0.25">
      <c r="A159" s="73">
        <v>45503</v>
      </c>
      <c r="B159" s="74">
        <v>715.25</v>
      </c>
      <c r="C159" s="74">
        <f t="shared" si="138"/>
        <v>23</v>
      </c>
      <c r="D159" s="74">
        <f t="shared" si="139"/>
        <v>23</v>
      </c>
      <c r="E159" s="74">
        <f t="shared" si="140"/>
        <v>0</v>
      </c>
      <c r="F159" s="75">
        <f t="shared" ref="F159:G159" si="172">AVERAGE(D159:D172)</f>
        <v>4.7464285714285666</v>
      </c>
      <c r="G159" s="75">
        <f t="shared" si="172"/>
        <v>5.2999999999999954</v>
      </c>
      <c r="H159" s="75">
        <f t="shared" si="142"/>
        <v>0.89555256064690014</v>
      </c>
      <c r="I159" s="76">
        <f t="shared" si="143"/>
        <v>47.244934233913966</v>
      </c>
    </row>
    <row r="160" spans="1:9" x14ac:dyDescent="0.25">
      <c r="A160" s="73">
        <v>45502</v>
      </c>
      <c r="B160" s="74">
        <v>692.25</v>
      </c>
      <c r="C160" s="74">
        <f t="shared" si="138"/>
        <v>-1.2999999999999545</v>
      </c>
      <c r="D160" s="74">
        <f t="shared" si="139"/>
        <v>0</v>
      </c>
      <c r="E160" s="74">
        <f t="shared" si="140"/>
        <v>1.2999999999999545</v>
      </c>
      <c r="F160" s="75">
        <f t="shared" ref="F160:G160" si="173">AVERAGE(D160:D173)</f>
        <v>3.1035714285714238</v>
      </c>
      <c r="G160" s="75">
        <f t="shared" si="173"/>
        <v>6.6714285714285699</v>
      </c>
      <c r="H160" s="75">
        <f t="shared" si="142"/>
        <v>0.46520342612419641</v>
      </c>
      <c r="I160" s="76">
        <f t="shared" si="143"/>
        <v>31.750091340884154</v>
      </c>
    </row>
    <row r="161" spans="1:9" x14ac:dyDescent="0.25">
      <c r="A161" s="73">
        <v>45499</v>
      </c>
      <c r="B161" s="74">
        <v>693.55</v>
      </c>
      <c r="C161" s="74">
        <f t="shared" si="138"/>
        <v>25.399999999999977</v>
      </c>
      <c r="D161" s="74">
        <f t="shared" si="139"/>
        <v>25.399999999999977</v>
      </c>
      <c r="E161" s="74">
        <f t="shared" si="140"/>
        <v>0</v>
      </c>
      <c r="F161" s="75">
        <f t="shared" ref="F161:G161" si="174">AVERAGE(D161:D174)</f>
        <v>3.5035714285714255</v>
      </c>
      <c r="G161" s="75">
        <f t="shared" si="174"/>
        <v>6.5785714285714301</v>
      </c>
      <c r="H161" s="75">
        <f t="shared" si="142"/>
        <v>0.53257328990227959</v>
      </c>
      <c r="I161" s="76">
        <f t="shared" si="143"/>
        <v>34.750265674814003</v>
      </c>
    </row>
    <row r="162" spans="1:9" x14ac:dyDescent="0.25">
      <c r="A162" s="73">
        <v>45498</v>
      </c>
      <c r="B162" s="74">
        <v>668.15</v>
      </c>
      <c r="C162" s="74">
        <f t="shared" si="138"/>
        <v>-14.200000000000045</v>
      </c>
      <c r="D162" s="74">
        <f t="shared" si="139"/>
        <v>0</v>
      </c>
      <c r="E162" s="74">
        <f t="shared" si="140"/>
        <v>14.200000000000045</v>
      </c>
      <c r="F162" s="75">
        <f t="shared" ref="F162:G162" si="175">AVERAGE(D162:D175)</f>
        <v>2.5142857142857173</v>
      </c>
      <c r="G162" s="75">
        <f t="shared" si="175"/>
        <v>6.5785714285714301</v>
      </c>
      <c r="H162" s="75">
        <f t="shared" si="142"/>
        <v>0.38219326818675392</v>
      </c>
      <c r="I162" s="76">
        <f t="shared" si="143"/>
        <v>27.651217596229401</v>
      </c>
    </row>
    <row r="163" spans="1:9" x14ac:dyDescent="0.25">
      <c r="A163" s="73">
        <v>45497</v>
      </c>
      <c r="B163" s="74">
        <v>682.35</v>
      </c>
      <c r="C163" s="74">
        <f t="shared" si="138"/>
        <v>-14.75</v>
      </c>
      <c r="D163" s="74">
        <f t="shared" si="139"/>
        <v>0</v>
      </c>
      <c r="E163" s="74">
        <f t="shared" si="140"/>
        <v>14.75</v>
      </c>
      <c r="F163" s="75">
        <f t="shared" ref="F163:G163" si="176">AVERAGE(D163:D176)</f>
        <v>2.5142857142857173</v>
      </c>
      <c r="G163" s="75">
        <f t="shared" si="176"/>
        <v>6.1428571428571432</v>
      </c>
      <c r="H163" s="75">
        <f t="shared" si="142"/>
        <v>0.40930232558139584</v>
      </c>
      <c r="I163" s="76">
        <f t="shared" si="143"/>
        <v>29.042904290429064</v>
      </c>
    </row>
    <row r="164" spans="1:9" x14ac:dyDescent="0.25">
      <c r="A164" s="73">
        <v>45496</v>
      </c>
      <c r="B164" s="74">
        <v>697.1</v>
      </c>
      <c r="C164" s="74">
        <f t="shared" si="138"/>
        <v>-12.699999999999932</v>
      </c>
      <c r="D164" s="74">
        <f t="shared" si="139"/>
        <v>0</v>
      </c>
      <c r="E164" s="74">
        <f t="shared" si="140"/>
        <v>12.699999999999932</v>
      </c>
      <c r="F164" s="75">
        <f t="shared" ref="F164:G164" si="177">AVERAGE(D164:D177)</f>
        <v>2.7035714285714301</v>
      </c>
      <c r="G164" s="75">
        <f t="shared" si="177"/>
        <v>5.0892857142857144</v>
      </c>
      <c r="H164" s="75">
        <f t="shared" si="142"/>
        <v>0.53122807017543883</v>
      </c>
      <c r="I164" s="76">
        <f t="shared" si="143"/>
        <v>34.69294225481211</v>
      </c>
    </row>
    <row r="165" spans="1:9" x14ac:dyDescent="0.25">
      <c r="A165" s="73">
        <v>45495</v>
      </c>
      <c r="B165" s="74">
        <v>709.8</v>
      </c>
      <c r="C165" s="74">
        <f t="shared" si="138"/>
        <v>4.7999999999999545</v>
      </c>
      <c r="D165" s="74">
        <f t="shared" si="139"/>
        <v>4.7999999999999545</v>
      </c>
      <c r="E165" s="74">
        <f t="shared" si="140"/>
        <v>0</v>
      </c>
      <c r="F165" s="75">
        <f t="shared" ref="F165:G165" si="178">AVERAGE(D165:D178)</f>
        <v>2.7035714285714301</v>
      </c>
      <c r="G165" s="75">
        <f t="shared" si="178"/>
        <v>5.5892857142857224</v>
      </c>
      <c r="H165" s="75">
        <f t="shared" si="142"/>
        <v>0.48370607028753948</v>
      </c>
      <c r="I165" s="76">
        <f t="shared" si="143"/>
        <v>32.601205857019792</v>
      </c>
    </row>
    <row r="166" spans="1:9" x14ac:dyDescent="0.25">
      <c r="A166" s="73">
        <v>45492</v>
      </c>
      <c r="B166" s="74">
        <v>705</v>
      </c>
      <c r="C166" s="74">
        <f t="shared" si="138"/>
        <v>-7.75</v>
      </c>
      <c r="D166" s="74">
        <f t="shared" si="139"/>
        <v>0</v>
      </c>
      <c r="E166" s="74">
        <f t="shared" si="140"/>
        <v>7.75</v>
      </c>
      <c r="F166" s="75">
        <f t="shared" ref="F166:G166" si="179">AVERAGE(D166:D179)</f>
        <v>3.4821428571428652</v>
      </c>
      <c r="G166" s="75">
        <f t="shared" si="179"/>
        <v>5.5892857142857224</v>
      </c>
      <c r="H166" s="75">
        <f t="shared" si="142"/>
        <v>0.62300319488817946</v>
      </c>
      <c r="I166" s="76">
        <f t="shared" si="143"/>
        <v>38.385826771653569</v>
      </c>
    </row>
    <row r="167" spans="1:9" x14ac:dyDescent="0.25">
      <c r="A167" s="73">
        <v>45491</v>
      </c>
      <c r="B167" s="74">
        <v>712.75</v>
      </c>
      <c r="C167" s="74">
        <f t="shared" si="138"/>
        <v>4.3999999999999773</v>
      </c>
      <c r="D167" s="74">
        <f t="shared" si="139"/>
        <v>4.3999999999999773</v>
      </c>
      <c r="E167" s="74">
        <f t="shared" si="140"/>
        <v>0</v>
      </c>
      <c r="F167" s="75">
        <f t="shared" ref="F167:G167" si="180">AVERAGE(D167:D180)</f>
        <v>3.4821428571428652</v>
      </c>
      <c r="G167" s="75">
        <f t="shared" si="180"/>
        <v>5.1107142857142902</v>
      </c>
      <c r="H167" s="75">
        <f t="shared" si="142"/>
        <v>0.68134171907756913</v>
      </c>
      <c r="I167" s="76">
        <f t="shared" si="143"/>
        <v>40.523690773067372</v>
      </c>
    </row>
    <row r="168" spans="1:9" x14ac:dyDescent="0.25">
      <c r="A168" s="73">
        <v>45489</v>
      </c>
      <c r="B168" s="74">
        <v>708.35</v>
      </c>
      <c r="C168" s="74">
        <f t="shared" si="138"/>
        <v>-12.100000000000023</v>
      </c>
      <c r="D168" s="74">
        <f t="shared" si="139"/>
        <v>0</v>
      </c>
      <c r="E168" s="74">
        <f t="shared" si="140"/>
        <v>12.100000000000023</v>
      </c>
      <c r="F168" s="75">
        <f t="shared" ref="F168:G168" si="181">AVERAGE(D168:D181)</f>
        <v>4.8285714285714381</v>
      </c>
      <c r="G168" s="75">
        <f t="shared" si="181"/>
        <v>5.1107142857142902</v>
      </c>
      <c r="H168" s="75">
        <f t="shared" si="142"/>
        <v>0.94479385045422881</v>
      </c>
      <c r="I168" s="76">
        <f t="shared" si="143"/>
        <v>48.580668343514219</v>
      </c>
    </row>
    <row r="169" spans="1:9" x14ac:dyDescent="0.25">
      <c r="A169" s="73">
        <v>45488</v>
      </c>
      <c r="B169" s="74">
        <v>720.45</v>
      </c>
      <c r="C169" s="74">
        <f t="shared" si="138"/>
        <v>7.3000000000000682</v>
      </c>
      <c r="D169" s="74">
        <f t="shared" si="139"/>
        <v>7.3000000000000682</v>
      </c>
      <c r="E169" s="74">
        <f t="shared" si="140"/>
        <v>0</v>
      </c>
      <c r="F169" s="75">
        <f t="shared" ref="F169:G169" si="182">AVERAGE(D169:D182)</f>
        <v>4.8285714285714381</v>
      </c>
      <c r="G169" s="75">
        <f t="shared" si="182"/>
        <v>4.8035714285714368</v>
      </c>
      <c r="H169" s="75">
        <f t="shared" si="142"/>
        <v>1.0052044609665429</v>
      </c>
      <c r="I169" s="76">
        <f t="shared" si="143"/>
        <v>50.129773822766047</v>
      </c>
    </row>
    <row r="170" spans="1:9" x14ac:dyDescent="0.25">
      <c r="A170" s="73">
        <v>45485</v>
      </c>
      <c r="B170" s="74">
        <v>713.15</v>
      </c>
      <c r="C170" s="74">
        <f t="shared" si="138"/>
        <v>0.14999999999997726</v>
      </c>
      <c r="D170" s="74">
        <f t="shared" si="139"/>
        <v>0.14999999999997726</v>
      </c>
      <c r="E170" s="74">
        <f t="shared" si="140"/>
        <v>0</v>
      </c>
      <c r="F170" s="75">
        <f t="shared" ref="F170:G170" si="183">AVERAGE(D170:D183)</f>
        <v>4.3071428571428623</v>
      </c>
      <c r="G170" s="75">
        <f t="shared" si="183"/>
        <v>6.7321428571428656</v>
      </c>
      <c r="H170" s="75">
        <f t="shared" si="142"/>
        <v>0.63978779840848798</v>
      </c>
      <c r="I170" s="76">
        <f t="shared" si="143"/>
        <v>39.016499514720145</v>
      </c>
    </row>
    <row r="171" spans="1:9" x14ac:dyDescent="0.25">
      <c r="A171" s="73">
        <v>45484</v>
      </c>
      <c r="B171" s="74">
        <v>713</v>
      </c>
      <c r="C171" s="74">
        <f t="shared" si="138"/>
        <v>-11.399999999999977</v>
      </c>
      <c r="D171" s="74">
        <f t="shared" si="139"/>
        <v>0</v>
      </c>
      <c r="E171" s="74">
        <f t="shared" si="140"/>
        <v>11.399999999999977</v>
      </c>
      <c r="F171" s="75">
        <f t="shared" ref="F171:G171" si="184">AVERAGE(D171:D184)</f>
        <v>5.9714285714285813</v>
      </c>
      <c r="G171" s="75">
        <f t="shared" si="184"/>
        <v>6.7321428571428656</v>
      </c>
      <c r="H171" s="75">
        <f t="shared" si="142"/>
        <v>0.8870026525198943</v>
      </c>
      <c r="I171" s="76">
        <f t="shared" si="143"/>
        <v>47.005903851560319</v>
      </c>
    </row>
    <row r="172" spans="1:9" x14ac:dyDescent="0.25">
      <c r="A172" s="73">
        <v>45483</v>
      </c>
      <c r="B172" s="74">
        <v>724.4</v>
      </c>
      <c r="C172" s="74">
        <f t="shared" si="138"/>
        <v>1.3999999999999773</v>
      </c>
      <c r="D172" s="74">
        <f t="shared" si="139"/>
        <v>1.3999999999999773</v>
      </c>
      <c r="E172" s="74">
        <f t="shared" si="140"/>
        <v>0</v>
      </c>
      <c r="F172" s="75">
        <f t="shared" ref="F172:G172" si="185">AVERAGE(D172:D185)</f>
        <v>7.1535714285714347</v>
      </c>
      <c r="G172" s="75">
        <f t="shared" si="185"/>
        <v>5.9178571428571525</v>
      </c>
      <c r="H172" s="75">
        <f t="shared" si="142"/>
        <v>1.2088111044055512</v>
      </c>
      <c r="I172" s="76">
        <f t="shared" si="143"/>
        <v>54.726775956284129</v>
      </c>
    </row>
    <row r="173" spans="1:9" x14ac:dyDescent="0.25">
      <c r="A173" s="73">
        <v>45482</v>
      </c>
      <c r="B173" s="74">
        <v>723</v>
      </c>
      <c r="C173" s="74">
        <f t="shared" si="138"/>
        <v>-19.200000000000045</v>
      </c>
      <c r="D173" s="74">
        <f t="shared" si="139"/>
        <v>0</v>
      </c>
      <c r="E173" s="74">
        <f t="shared" si="140"/>
        <v>19.200000000000045</v>
      </c>
      <c r="F173" s="75">
        <f t="shared" ref="F173:G173" si="186">AVERAGE(D173:D186)</f>
        <v>7.6750000000000114</v>
      </c>
      <c r="G173" s="75">
        <f t="shared" si="186"/>
        <v>5.9178571428571525</v>
      </c>
      <c r="H173" s="75">
        <f t="shared" si="142"/>
        <v>1.296922148461074</v>
      </c>
      <c r="I173" s="76">
        <f t="shared" si="143"/>
        <v>56.46347871781397</v>
      </c>
    </row>
    <row r="174" spans="1:9" x14ac:dyDescent="0.25">
      <c r="A174" s="73">
        <v>45481</v>
      </c>
      <c r="B174" s="74">
        <v>742.2</v>
      </c>
      <c r="C174" s="74">
        <f t="shared" si="138"/>
        <v>5.6000000000000227</v>
      </c>
      <c r="D174" s="74">
        <f t="shared" si="139"/>
        <v>5.6000000000000227</v>
      </c>
      <c r="E174" s="74">
        <f t="shared" si="140"/>
        <v>0</v>
      </c>
      <c r="F174" s="75">
        <f t="shared" ref="F174:G174" si="187">AVERAGE(D174:D187)</f>
        <v>7.6750000000000114</v>
      </c>
      <c r="G174" s="75">
        <f t="shared" si="187"/>
        <v>5.1392857142857258</v>
      </c>
      <c r="H174" s="75">
        <f t="shared" si="142"/>
        <v>1.493398193189714</v>
      </c>
      <c r="I174" s="76">
        <f t="shared" si="143"/>
        <v>59.89409141583053</v>
      </c>
    </row>
    <row r="175" spans="1:9" x14ac:dyDescent="0.25">
      <c r="A175" s="73">
        <v>45478</v>
      </c>
      <c r="B175" s="74">
        <v>736.6</v>
      </c>
      <c r="C175" s="74">
        <f t="shared" si="138"/>
        <v>11.550000000000068</v>
      </c>
      <c r="D175" s="74">
        <f t="shared" si="139"/>
        <v>11.550000000000068</v>
      </c>
      <c r="E175" s="74">
        <f t="shared" si="140"/>
        <v>0</v>
      </c>
      <c r="F175" s="75">
        <f t="shared" ref="F175:G175" si="188">AVERAGE(D175:D188)</f>
        <v>8.9250000000000114</v>
      </c>
      <c r="G175" s="75">
        <f t="shared" si="188"/>
        <v>5.1392857142857258</v>
      </c>
      <c r="H175" s="75">
        <f t="shared" si="142"/>
        <v>1.7366226546212631</v>
      </c>
      <c r="I175" s="76">
        <f t="shared" si="143"/>
        <v>63.458608430675447</v>
      </c>
    </row>
    <row r="176" spans="1:9" x14ac:dyDescent="0.25">
      <c r="A176" s="73">
        <v>45477</v>
      </c>
      <c r="B176" s="74">
        <v>725.05</v>
      </c>
      <c r="C176" s="74">
        <f t="shared" si="138"/>
        <v>-8.1000000000000227</v>
      </c>
      <c r="D176" s="74">
        <f t="shared" si="139"/>
        <v>0</v>
      </c>
      <c r="E176" s="74">
        <f t="shared" si="140"/>
        <v>8.1000000000000227</v>
      </c>
      <c r="F176" s="75">
        <f t="shared" ref="F176:G176" si="189">AVERAGE(D176:D189)</f>
        <v>9.8250000000000046</v>
      </c>
      <c r="G176" s="75">
        <f t="shared" si="189"/>
        <v>5.1392857142857258</v>
      </c>
      <c r="H176" s="75">
        <f t="shared" si="142"/>
        <v>1.9117442668519771</v>
      </c>
      <c r="I176" s="76">
        <f t="shared" si="143"/>
        <v>65.656324582338868</v>
      </c>
    </row>
    <row r="177" spans="1:9" x14ac:dyDescent="0.25">
      <c r="A177" s="73">
        <v>45476</v>
      </c>
      <c r="B177" s="74">
        <v>733.15</v>
      </c>
      <c r="C177" s="74">
        <f t="shared" si="138"/>
        <v>2.6499999999999773</v>
      </c>
      <c r="D177" s="74">
        <f t="shared" si="139"/>
        <v>2.6499999999999773</v>
      </c>
      <c r="E177" s="74">
        <f t="shared" si="140"/>
        <v>0</v>
      </c>
      <c r="F177" s="75">
        <f t="shared" ref="F177:G177" si="190">AVERAGE(D177:D190)</f>
        <v>10.482142857142865</v>
      </c>
      <c r="G177" s="75">
        <f t="shared" si="190"/>
        <v>4.5607142857142957</v>
      </c>
      <c r="H177" s="75">
        <f t="shared" si="142"/>
        <v>2.2983555207517585</v>
      </c>
      <c r="I177" s="76">
        <f t="shared" si="143"/>
        <v>69.681861348527988</v>
      </c>
    </row>
    <row r="178" spans="1:9" x14ac:dyDescent="0.25">
      <c r="A178" s="73">
        <v>45475</v>
      </c>
      <c r="B178" s="74">
        <v>730.5</v>
      </c>
      <c r="C178" s="74">
        <f t="shared" si="138"/>
        <v>-19.700000000000045</v>
      </c>
      <c r="D178" s="74">
        <f t="shared" si="139"/>
        <v>0</v>
      </c>
      <c r="E178" s="74">
        <f t="shared" si="140"/>
        <v>19.700000000000045</v>
      </c>
      <c r="F178" s="75">
        <f t="shared" ref="F178:G178" si="191">AVERAGE(D178:D191)</f>
        <v>11.167857142857153</v>
      </c>
      <c r="G178" s="75">
        <f t="shared" si="191"/>
        <v>4.5607142857142957</v>
      </c>
      <c r="H178" s="75">
        <f t="shared" si="142"/>
        <v>2.4487079091620956</v>
      </c>
      <c r="I178" s="76">
        <f t="shared" si="143"/>
        <v>71.003633060853744</v>
      </c>
    </row>
    <row r="179" spans="1:9" x14ac:dyDescent="0.25">
      <c r="A179" s="73">
        <v>45474</v>
      </c>
      <c r="B179" s="74">
        <v>750.2</v>
      </c>
      <c r="C179" s="74">
        <f t="shared" si="138"/>
        <v>15.700000000000045</v>
      </c>
      <c r="D179" s="74">
        <f t="shared" si="139"/>
        <v>15.700000000000045</v>
      </c>
      <c r="E179" s="74">
        <f t="shared" si="140"/>
        <v>0</v>
      </c>
      <c r="F179" s="75">
        <f t="shared" ref="F179:G179" si="192">AVERAGE(D179:D192)</f>
        <v>11.764285714285725</v>
      </c>
      <c r="G179" s="75">
        <f t="shared" si="192"/>
        <v>3.1535714285714351</v>
      </c>
      <c r="H179" s="75">
        <f t="shared" si="142"/>
        <v>3.7304643261608108</v>
      </c>
      <c r="I179" s="76">
        <f t="shared" si="143"/>
        <v>78.860426143164929</v>
      </c>
    </row>
    <row r="180" spans="1:9" x14ac:dyDescent="0.25">
      <c r="A180" s="73">
        <v>45471</v>
      </c>
      <c r="B180" s="74">
        <v>734.5</v>
      </c>
      <c r="C180" s="74">
        <f t="shared" si="138"/>
        <v>-1.0499999999999545</v>
      </c>
      <c r="D180" s="74">
        <f t="shared" si="139"/>
        <v>0</v>
      </c>
      <c r="E180" s="74">
        <f t="shared" si="140"/>
        <v>1.0499999999999545</v>
      </c>
      <c r="F180" s="75">
        <f t="shared" ref="F180:G180" si="193">AVERAGE(D180:D193)</f>
        <v>10.90714285714286</v>
      </c>
      <c r="G180" s="75">
        <f t="shared" si="193"/>
        <v>3.1535714285714351</v>
      </c>
      <c r="H180" s="75">
        <f t="shared" si="142"/>
        <v>3.4586636466591103</v>
      </c>
      <c r="I180" s="76">
        <f t="shared" si="143"/>
        <v>77.571755143510245</v>
      </c>
    </row>
    <row r="181" spans="1:9" x14ac:dyDescent="0.25">
      <c r="A181" s="73">
        <v>45470</v>
      </c>
      <c r="B181" s="74">
        <v>735.55</v>
      </c>
      <c r="C181" s="74">
        <f t="shared" si="138"/>
        <v>23.25</v>
      </c>
      <c r="D181" s="74">
        <f t="shared" si="139"/>
        <v>23.25</v>
      </c>
      <c r="E181" s="74">
        <f t="shared" si="140"/>
        <v>0</v>
      </c>
      <c r="F181" s="75">
        <f t="shared" ref="F181:G181" si="194">AVERAGE(D181:D194)</f>
        <v>10.967857142857147</v>
      </c>
      <c r="G181" s="75">
        <f t="shared" si="194"/>
        <v>3.0785714285714385</v>
      </c>
      <c r="H181" s="75">
        <f t="shared" si="142"/>
        <v>3.5626450116009178</v>
      </c>
      <c r="I181" s="76">
        <f t="shared" si="143"/>
        <v>78.082888380371173</v>
      </c>
    </row>
    <row r="182" spans="1:9" x14ac:dyDescent="0.25">
      <c r="A182" s="73">
        <v>45469</v>
      </c>
      <c r="B182" s="74">
        <v>712.3</v>
      </c>
      <c r="C182" s="74">
        <f t="shared" si="138"/>
        <v>-7.8000000000000682</v>
      </c>
      <c r="D182" s="74">
        <f t="shared" si="139"/>
        <v>0</v>
      </c>
      <c r="E182" s="74">
        <f t="shared" si="140"/>
        <v>7.8000000000000682</v>
      </c>
      <c r="F182" s="75">
        <f t="shared" ref="F182:G182" si="195">AVERAGE(D182:D195)</f>
        <v>10.489285714285725</v>
      </c>
      <c r="G182" s="75">
        <f t="shared" si="195"/>
        <v>3.0785714285714385</v>
      </c>
      <c r="H182" s="75">
        <f t="shared" si="142"/>
        <v>3.4071925754060248</v>
      </c>
      <c r="I182" s="76">
        <f t="shared" si="143"/>
        <v>77.309818373256078</v>
      </c>
    </row>
    <row r="183" spans="1:9" x14ac:dyDescent="0.25">
      <c r="A183" s="73">
        <v>45468</v>
      </c>
      <c r="B183" s="74">
        <v>720.1</v>
      </c>
      <c r="C183" s="74">
        <f t="shared" si="138"/>
        <v>-27</v>
      </c>
      <c r="D183" s="74">
        <f t="shared" si="139"/>
        <v>0</v>
      </c>
      <c r="E183" s="74">
        <f t="shared" si="140"/>
        <v>27</v>
      </c>
      <c r="F183" s="75">
        <f t="shared" ref="F183:G183" si="196">AVERAGE(D183:D196)</f>
        <v>14.435714285714296</v>
      </c>
      <c r="G183" s="75">
        <f t="shared" si="196"/>
        <v>2.5214285714285762</v>
      </c>
      <c r="H183" s="75">
        <f t="shared" si="142"/>
        <v>5.7252124645892284</v>
      </c>
      <c r="I183" s="76">
        <f t="shared" si="143"/>
        <v>85.13058129738836</v>
      </c>
    </row>
    <row r="184" spans="1:9" x14ac:dyDescent="0.25">
      <c r="A184" s="73">
        <v>45467</v>
      </c>
      <c r="B184" s="74">
        <v>747.1</v>
      </c>
      <c r="C184" s="74">
        <f t="shared" si="138"/>
        <v>23.450000000000045</v>
      </c>
      <c r="D184" s="74">
        <f t="shared" si="139"/>
        <v>23.450000000000045</v>
      </c>
      <c r="E184" s="74">
        <f t="shared" si="140"/>
        <v>0</v>
      </c>
      <c r="F184" s="75">
        <f t="shared" ref="F184:G184" si="197">AVERAGE(D184:D197)</f>
        <v>14.435714285714296</v>
      </c>
      <c r="G184" s="75">
        <f t="shared" si="197"/>
        <v>8.1214285714285825</v>
      </c>
      <c r="H184" s="75">
        <f t="shared" si="142"/>
        <v>1.777484608619172</v>
      </c>
      <c r="I184" s="76">
        <f t="shared" si="143"/>
        <v>63.99620012666243</v>
      </c>
    </row>
    <row r="185" spans="1:9" x14ac:dyDescent="0.25">
      <c r="A185" s="73">
        <v>45464</v>
      </c>
      <c r="B185" s="74">
        <v>723.65</v>
      </c>
      <c r="C185" s="74">
        <f t="shared" si="138"/>
        <v>16.549999999999955</v>
      </c>
      <c r="D185" s="74">
        <f t="shared" si="139"/>
        <v>16.549999999999955</v>
      </c>
      <c r="E185" s="74">
        <f t="shared" si="140"/>
        <v>0</v>
      </c>
      <c r="F185" s="75">
        <f t="shared" ref="F185:G185" si="198">AVERAGE(D185:D198)</f>
        <v>16.025000000000009</v>
      </c>
      <c r="G185" s="75">
        <f t="shared" si="198"/>
        <v>8.1214285714285825</v>
      </c>
      <c r="H185" s="75">
        <f t="shared" si="142"/>
        <v>1.9731750219876854</v>
      </c>
      <c r="I185" s="76">
        <f t="shared" si="143"/>
        <v>66.365922200857852</v>
      </c>
    </row>
    <row r="186" spans="1:9" x14ac:dyDescent="0.25">
      <c r="A186" s="73">
        <v>45463</v>
      </c>
      <c r="B186" s="74">
        <v>707.1</v>
      </c>
      <c r="C186" s="74">
        <f t="shared" si="138"/>
        <v>8.7000000000000455</v>
      </c>
      <c r="D186" s="74">
        <f t="shared" si="139"/>
        <v>8.7000000000000455</v>
      </c>
      <c r="E186" s="74">
        <f t="shared" si="140"/>
        <v>0</v>
      </c>
      <c r="F186" s="75">
        <f t="shared" ref="F186:G186" si="199">AVERAGE(D186:D199)</f>
        <v>15.128571428571442</v>
      </c>
      <c r="G186" s="75">
        <f t="shared" si="199"/>
        <v>8.1214285714285825</v>
      </c>
      <c r="H186" s="75">
        <f t="shared" si="142"/>
        <v>1.8627968337730862</v>
      </c>
      <c r="I186" s="76">
        <f t="shared" si="143"/>
        <v>65.069124423963132</v>
      </c>
    </row>
    <row r="187" spans="1:9" x14ac:dyDescent="0.25">
      <c r="A187" s="73">
        <v>45462</v>
      </c>
      <c r="B187" s="74">
        <v>698.4</v>
      </c>
      <c r="C187" s="74">
        <f t="shared" si="138"/>
        <v>-8.3000000000000682</v>
      </c>
      <c r="D187" s="74">
        <f t="shared" si="139"/>
        <v>0</v>
      </c>
      <c r="E187" s="74">
        <f t="shared" si="140"/>
        <v>8.3000000000000682</v>
      </c>
      <c r="F187" s="75">
        <f t="shared" ref="F187:G187" si="200">AVERAGE(D187:D200)</f>
        <v>14.850000000000007</v>
      </c>
      <c r="G187" s="75">
        <f t="shared" si="200"/>
        <v>8.1214285714285825</v>
      </c>
      <c r="H187" s="75">
        <f t="shared" si="142"/>
        <v>1.8284960422163572</v>
      </c>
      <c r="I187" s="76">
        <f t="shared" si="143"/>
        <v>64.645522388059675</v>
      </c>
    </row>
    <row r="188" spans="1:9" x14ac:dyDescent="0.25">
      <c r="A188" s="73">
        <v>45461</v>
      </c>
      <c r="B188" s="74">
        <v>706.7</v>
      </c>
      <c r="C188" s="74">
        <f t="shared" si="138"/>
        <v>23.100000000000023</v>
      </c>
      <c r="D188" s="74">
        <f t="shared" si="139"/>
        <v>23.100000000000023</v>
      </c>
      <c r="E188" s="74">
        <f t="shared" si="140"/>
        <v>0</v>
      </c>
      <c r="F188" s="75">
        <f t="shared" ref="F188:G188" si="201">AVERAGE(D188:D201)</f>
        <v>14.850000000000007</v>
      </c>
      <c r="G188" s="75">
        <f t="shared" si="201"/>
        <v>8.1535714285714356</v>
      </c>
      <c r="H188" s="75">
        <f t="shared" si="142"/>
        <v>1.8212877792378441</v>
      </c>
      <c r="I188" s="76">
        <f t="shared" si="143"/>
        <v>64.555193292966919</v>
      </c>
    </row>
    <row r="189" spans="1:9" x14ac:dyDescent="0.25">
      <c r="A189" s="73">
        <v>45457</v>
      </c>
      <c r="B189" s="74">
        <v>683.6</v>
      </c>
      <c r="C189" s="74">
        <f t="shared" si="138"/>
        <v>24.149999999999977</v>
      </c>
      <c r="D189" s="74">
        <f t="shared" si="139"/>
        <v>24.149999999999977</v>
      </c>
      <c r="E189" s="74">
        <f t="shared" si="140"/>
        <v>0</v>
      </c>
      <c r="F189" s="75">
        <f t="shared" ref="F189:G189" si="202">AVERAGE(D189:D202)</f>
        <v>13.200000000000005</v>
      </c>
      <c r="G189" s="75">
        <f t="shared" si="202"/>
        <v>8.7357142857142911</v>
      </c>
      <c r="H189" s="75">
        <f t="shared" si="142"/>
        <v>1.5110384300899424</v>
      </c>
      <c r="I189" s="76">
        <f t="shared" si="143"/>
        <v>60.175838489091497</v>
      </c>
    </row>
    <row r="190" spans="1:9" x14ac:dyDescent="0.25">
      <c r="A190" s="73">
        <v>45456</v>
      </c>
      <c r="B190" s="74">
        <v>659.45</v>
      </c>
      <c r="C190" s="74">
        <f t="shared" si="138"/>
        <v>9.2000000000000455</v>
      </c>
      <c r="D190" s="74">
        <f t="shared" si="139"/>
        <v>9.2000000000000455</v>
      </c>
      <c r="E190" s="74">
        <f t="shared" si="140"/>
        <v>0</v>
      </c>
      <c r="F190" s="75">
        <f t="shared" ref="F190:G190" si="203">AVERAGE(D190:D203)</f>
        <v>12.935714285714296</v>
      </c>
      <c r="G190" s="75">
        <f t="shared" si="203"/>
        <v>8.7357142857142911</v>
      </c>
      <c r="H190" s="75">
        <f t="shared" si="142"/>
        <v>1.4807849550286183</v>
      </c>
      <c r="I190" s="76">
        <f t="shared" si="143"/>
        <v>59.690177982860909</v>
      </c>
    </row>
    <row r="191" spans="1:9" x14ac:dyDescent="0.25">
      <c r="A191" s="73">
        <v>45455</v>
      </c>
      <c r="B191" s="74">
        <v>650.25</v>
      </c>
      <c r="C191" s="74">
        <f t="shared" si="138"/>
        <v>12.25</v>
      </c>
      <c r="D191" s="74">
        <f t="shared" si="139"/>
        <v>12.25</v>
      </c>
      <c r="E191" s="74">
        <f t="shared" si="140"/>
        <v>0</v>
      </c>
      <c r="F191" s="75">
        <f t="shared" ref="F191:G191" si="204">AVERAGE(D191:D204)</f>
        <v>12.278571428571436</v>
      </c>
      <c r="G191" s="75">
        <f t="shared" si="204"/>
        <v>9.9357142857142957</v>
      </c>
      <c r="H191" s="75">
        <f t="shared" si="142"/>
        <v>1.2358015815959735</v>
      </c>
      <c r="I191" s="76">
        <f t="shared" si="143"/>
        <v>55.273311897106097</v>
      </c>
    </row>
    <row r="192" spans="1:9" x14ac:dyDescent="0.25">
      <c r="A192" s="73">
        <v>45454</v>
      </c>
      <c r="B192" s="74">
        <v>638</v>
      </c>
      <c r="C192" s="74">
        <f t="shared" si="138"/>
        <v>8.3500000000000227</v>
      </c>
      <c r="D192" s="74">
        <f t="shared" si="139"/>
        <v>8.3500000000000227</v>
      </c>
      <c r="E192" s="74">
        <f t="shared" si="140"/>
        <v>0</v>
      </c>
      <c r="F192" s="75">
        <f t="shared" ref="F192:G192" si="205">AVERAGE(D192:D205)</f>
        <v>11.975000000000007</v>
      </c>
      <c r="G192" s="75">
        <f t="shared" si="205"/>
        <v>9.9357142857142957</v>
      </c>
      <c r="H192" s="75">
        <f t="shared" si="142"/>
        <v>1.2052480230050318</v>
      </c>
      <c r="I192" s="76">
        <f t="shared" si="143"/>
        <v>54.653626731866325</v>
      </c>
    </row>
    <row r="193" spans="1:9" x14ac:dyDescent="0.25">
      <c r="A193" s="73">
        <v>45453</v>
      </c>
      <c r="B193" s="74">
        <v>629.65</v>
      </c>
      <c r="C193" s="74">
        <f t="shared" si="138"/>
        <v>3.6999999999999318</v>
      </c>
      <c r="D193" s="74">
        <f t="shared" si="139"/>
        <v>3.6999999999999318</v>
      </c>
      <c r="E193" s="74">
        <f t="shared" si="140"/>
        <v>0</v>
      </c>
      <c r="F193" s="75">
        <f t="shared" ref="F193:G193" si="206">AVERAGE(D193:D206)</f>
        <v>11.775000000000009</v>
      </c>
      <c r="G193" s="75">
        <f t="shared" si="206"/>
        <v>9.9357142857142957</v>
      </c>
      <c r="H193" s="75">
        <f t="shared" si="142"/>
        <v>1.1851186196980588</v>
      </c>
      <c r="I193" s="76">
        <f t="shared" si="143"/>
        <v>54.235894061523275</v>
      </c>
    </row>
    <row r="194" spans="1:9" x14ac:dyDescent="0.25">
      <c r="A194" s="73">
        <v>45450</v>
      </c>
      <c r="B194" s="74">
        <v>625.95000000000005</v>
      </c>
      <c r="C194" s="74">
        <f t="shared" ref="C194:C246" si="207">B194-B195</f>
        <v>0.85000000000002274</v>
      </c>
      <c r="D194" s="74">
        <f t="shared" ref="D194:D244" si="208">IF(C194&gt;0,C194,0)</f>
        <v>0.85000000000002274</v>
      </c>
      <c r="E194" s="74">
        <f t="shared" ref="E194:E246" si="209">IF(C194&gt;0,0,ABS(C194))</f>
        <v>0</v>
      </c>
      <c r="F194" s="75">
        <f t="shared" ref="F194:G194" si="210">AVERAGE(D194:D207)</f>
        <v>11.950000000000014</v>
      </c>
      <c r="G194" s="75">
        <f t="shared" si="210"/>
        <v>9.9357142857142957</v>
      </c>
      <c r="H194" s="75">
        <f t="shared" ref="H194:H233" si="211">F194/G194</f>
        <v>1.2027318475916609</v>
      </c>
      <c r="I194" s="76">
        <f t="shared" ref="I194:I233" si="212">IF(G194=0,100,100-(100/(1+H194)))</f>
        <v>54.601827676240212</v>
      </c>
    </row>
    <row r="195" spans="1:9" x14ac:dyDescent="0.25">
      <c r="A195" s="73">
        <v>45449</v>
      </c>
      <c r="B195" s="74">
        <v>625.1</v>
      </c>
      <c r="C195" s="74">
        <f t="shared" si="207"/>
        <v>16.550000000000068</v>
      </c>
      <c r="D195" s="74">
        <f t="shared" si="208"/>
        <v>16.550000000000068</v>
      </c>
      <c r="E195" s="74">
        <f t="shared" si="209"/>
        <v>0</v>
      </c>
      <c r="F195" s="75">
        <f t="shared" ref="F195:G195" si="213">AVERAGE(D195:D208)</f>
        <v>12.164285714285727</v>
      </c>
      <c r="G195" s="75">
        <f t="shared" si="213"/>
        <v>9.9357142857142957</v>
      </c>
      <c r="H195" s="75">
        <f t="shared" si="211"/>
        <v>1.2242990654205608</v>
      </c>
      <c r="I195" s="76">
        <f t="shared" si="212"/>
        <v>55.042016806722692</v>
      </c>
    </row>
    <row r="196" spans="1:9" x14ac:dyDescent="0.25">
      <c r="A196" s="73">
        <v>45448</v>
      </c>
      <c r="B196" s="74">
        <v>608.54999999999995</v>
      </c>
      <c r="C196" s="74">
        <f t="shared" si="207"/>
        <v>55.25</v>
      </c>
      <c r="D196" s="74">
        <f t="shared" si="208"/>
        <v>55.25</v>
      </c>
      <c r="E196" s="74">
        <f t="shared" si="209"/>
        <v>0</v>
      </c>
      <c r="F196" s="75">
        <f t="shared" ref="F196:G196" si="214">AVERAGE(D196:D209)</f>
        <v>10.982142857142865</v>
      </c>
      <c r="G196" s="75">
        <f t="shared" si="214"/>
        <v>9.9535714285714381</v>
      </c>
      <c r="H196" s="75">
        <f t="shared" si="211"/>
        <v>1.1033369214208824</v>
      </c>
      <c r="I196" s="76">
        <f t="shared" si="212"/>
        <v>52.456499488229269</v>
      </c>
    </row>
    <row r="197" spans="1:9" x14ac:dyDescent="0.25">
      <c r="A197" s="73">
        <v>45447</v>
      </c>
      <c r="B197" s="74">
        <v>553.29999999999995</v>
      </c>
      <c r="C197" s="74">
        <f t="shared" si="207"/>
        <v>-105.40000000000009</v>
      </c>
      <c r="D197" s="74">
        <f t="shared" si="208"/>
        <v>0</v>
      </c>
      <c r="E197" s="74">
        <f t="shared" si="209"/>
        <v>105.40000000000009</v>
      </c>
      <c r="F197" s="75">
        <f t="shared" ref="F197:G197" si="215">AVERAGE(D197:D210)</f>
        <v>7.0357142857142936</v>
      </c>
      <c r="G197" s="75">
        <f t="shared" si="215"/>
        <v>10.232142857142865</v>
      </c>
      <c r="H197" s="75">
        <f t="shared" si="211"/>
        <v>0.68760907504363022</v>
      </c>
      <c r="I197" s="76">
        <f t="shared" si="212"/>
        <v>40.744570837642193</v>
      </c>
    </row>
    <row r="198" spans="1:9" x14ac:dyDescent="0.25">
      <c r="A198" s="73">
        <v>45446</v>
      </c>
      <c r="B198" s="74">
        <v>658.7</v>
      </c>
      <c r="C198" s="74">
        <f t="shared" si="207"/>
        <v>45.700000000000045</v>
      </c>
      <c r="D198" s="74">
        <f t="shared" si="208"/>
        <v>45.700000000000045</v>
      </c>
      <c r="E198" s="74">
        <f t="shared" si="209"/>
        <v>0</v>
      </c>
      <c r="F198" s="75">
        <f t="shared" ref="F198:G198" si="216">AVERAGE(D198:D211)</f>
        <v>7.0357142857142936</v>
      </c>
      <c r="G198" s="75">
        <f t="shared" si="216"/>
        <v>2.8214285714285796</v>
      </c>
      <c r="H198" s="75">
        <f t="shared" si="211"/>
        <v>2.4936708860759449</v>
      </c>
      <c r="I198" s="76">
        <f t="shared" si="212"/>
        <v>71.376811594202863</v>
      </c>
    </row>
    <row r="199" spans="1:9" x14ac:dyDescent="0.25">
      <c r="A199" s="73">
        <v>45443</v>
      </c>
      <c r="B199" s="74">
        <v>613</v>
      </c>
      <c r="C199" s="74">
        <f t="shared" si="207"/>
        <v>4</v>
      </c>
      <c r="D199" s="74">
        <f t="shared" si="208"/>
        <v>4</v>
      </c>
      <c r="E199" s="74">
        <f t="shared" si="209"/>
        <v>0</v>
      </c>
      <c r="F199" s="75">
        <f t="shared" ref="F199:G199" si="217">AVERAGE(D199:D212)</f>
        <v>5.5785714285714381</v>
      </c>
      <c r="G199" s="75">
        <f t="shared" si="217"/>
        <v>2.8214285714285796</v>
      </c>
      <c r="H199" s="75">
        <f t="shared" si="211"/>
        <v>1.9772151898734154</v>
      </c>
      <c r="I199" s="76">
        <f t="shared" si="212"/>
        <v>66.411564625850303</v>
      </c>
    </row>
    <row r="200" spans="1:9" x14ac:dyDescent="0.25">
      <c r="A200" s="73">
        <v>45442</v>
      </c>
      <c r="B200" s="74">
        <v>609</v>
      </c>
      <c r="C200" s="74">
        <f t="shared" si="207"/>
        <v>4.7999999999999545</v>
      </c>
      <c r="D200" s="74">
        <f t="shared" si="208"/>
        <v>4.7999999999999545</v>
      </c>
      <c r="E200" s="74">
        <f t="shared" si="209"/>
        <v>0</v>
      </c>
      <c r="F200" s="75">
        <f t="shared" ref="F200:G200" si="218">AVERAGE(D200:D213)</f>
        <v>5.5892857142857224</v>
      </c>
      <c r="G200" s="75">
        <f t="shared" si="218"/>
        <v>2.8214285714285796</v>
      </c>
      <c r="H200" s="75">
        <f t="shared" si="211"/>
        <v>1.9810126582278453</v>
      </c>
      <c r="I200" s="76">
        <f t="shared" si="212"/>
        <v>66.454352441613565</v>
      </c>
    </row>
    <row r="201" spans="1:9" x14ac:dyDescent="0.25">
      <c r="A201" s="73">
        <v>45441</v>
      </c>
      <c r="B201" s="74">
        <v>604.20000000000005</v>
      </c>
      <c r="C201" s="74">
        <f t="shared" si="207"/>
        <v>-8.75</v>
      </c>
      <c r="D201" s="74">
        <f t="shared" si="208"/>
        <v>0</v>
      </c>
      <c r="E201" s="74">
        <f t="shared" si="209"/>
        <v>8.75</v>
      </c>
      <c r="F201" s="75">
        <f t="shared" ref="F201:G201" si="219">AVERAGE(D201:D214)</f>
        <v>8.0535714285714359</v>
      </c>
      <c r="G201" s="75">
        <f t="shared" si="219"/>
        <v>2.8214285714285796</v>
      </c>
      <c r="H201" s="75">
        <f t="shared" si="211"/>
        <v>2.8544303797468298</v>
      </c>
      <c r="I201" s="76">
        <f t="shared" si="212"/>
        <v>74.055829228242985</v>
      </c>
    </row>
    <row r="202" spans="1:9" x14ac:dyDescent="0.25">
      <c r="A202" s="73">
        <v>45440</v>
      </c>
      <c r="B202" s="74">
        <v>612.95000000000005</v>
      </c>
      <c r="C202" s="74">
        <f t="shared" si="207"/>
        <v>-8.1499999999999773</v>
      </c>
      <c r="D202" s="74">
        <f t="shared" si="208"/>
        <v>0</v>
      </c>
      <c r="E202" s="74">
        <f t="shared" si="209"/>
        <v>8.1499999999999773</v>
      </c>
      <c r="F202" s="75">
        <f t="shared" ref="F202:G202" si="220">AVERAGE(D202:D215)</f>
        <v>8.0535714285714359</v>
      </c>
      <c r="G202" s="75">
        <f t="shared" si="220"/>
        <v>4.0750000000000046</v>
      </c>
      <c r="H202" s="75">
        <f t="shared" si="211"/>
        <v>1.9763365468886938</v>
      </c>
      <c r="I202" s="76">
        <f t="shared" si="212"/>
        <v>66.401648998822139</v>
      </c>
    </row>
    <row r="203" spans="1:9" x14ac:dyDescent="0.25">
      <c r="A203" s="73">
        <v>45439</v>
      </c>
      <c r="B203" s="74">
        <v>621.1</v>
      </c>
      <c r="C203" s="74">
        <f t="shared" si="207"/>
        <v>20.450000000000045</v>
      </c>
      <c r="D203" s="74">
        <f t="shared" si="208"/>
        <v>20.450000000000045</v>
      </c>
      <c r="E203" s="74">
        <f t="shared" si="209"/>
        <v>0</v>
      </c>
      <c r="F203" s="75">
        <f t="shared" ref="F203:G203" si="221">AVERAGE(D203:D216)</f>
        <v>8.0535714285714359</v>
      </c>
      <c r="G203" s="75">
        <f t="shared" si="221"/>
        <v>5.4071428571428601</v>
      </c>
      <c r="H203" s="75">
        <f t="shared" si="211"/>
        <v>1.4894319682959054</v>
      </c>
      <c r="I203" s="76">
        <f t="shared" si="212"/>
        <v>59.830193685327679</v>
      </c>
    </row>
    <row r="204" spans="1:9" x14ac:dyDescent="0.25">
      <c r="A204" s="73">
        <v>45436</v>
      </c>
      <c r="B204" s="74">
        <v>600.65</v>
      </c>
      <c r="C204" s="74">
        <f t="shared" si="207"/>
        <v>-16.800000000000068</v>
      </c>
      <c r="D204" s="74">
        <f t="shared" si="208"/>
        <v>0</v>
      </c>
      <c r="E204" s="74">
        <f t="shared" si="209"/>
        <v>16.800000000000068</v>
      </c>
      <c r="F204" s="75">
        <f t="shared" ref="F204:G204" si="222">AVERAGE(D204:D217)</f>
        <v>6.5928571428571479</v>
      </c>
      <c r="G204" s="75">
        <f t="shared" si="222"/>
        <v>7.8000000000000034</v>
      </c>
      <c r="H204" s="75">
        <f t="shared" si="211"/>
        <v>0.84523809523809557</v>
      </c>
      <c r="I204" s="76">
        <f t="shared" si="212"/>
        <v>45.806451612903238</v>
      </c>
    </row>
    <row r="205" spans="1:9" x14ac:dyDescent="0.25">
      <c r="A205" s="73">
        <v>45435</v>
      </c>
      <c r="B205" s="74">
        <v>617.45000000000005</v>
      </c>
      <c r="C205" s="74">
        <f t="shared" si="207"/>
        <v>8</v>
      </c>
      <c r="D205" s="74">
        <f t="shared" si="208"/>
        <v>8</v>
      </c>
      <c r="E205" s="74">
        <f t="shared" si="209"/>
        <v>0</v>
      </c>
      <c r="F205" s="75">
        <f t="shared" ref="F205:G205" si="223">AVERAGE(D205:D218)</f>
        <v>6.5928571428571479</v>
      </c>
      <c r="G205" s="75">
        <f t="shared" si="223"/>
        <v>8.3607142857142911</v>
      </c>
      <c r="H205" s="75">
        <f t="shared" si="211"/>
        <v>0.78855190089705263</v>
      </c>
      <c r="I205" s="76">
        <f t="shared" si="212"/>
        <v>44.088846429424407</v>
      </c>
    </row>
    <row r="206" spans="1:9" x14ac:dyDescent="0.25">
      <c r="A206" s="73">
        <v>45434</v>
      </c>
      <c r="B206" s="74">
        <v>609.45000000000005</v>
      </c>
      <c r="C206" s="74">
        <f t="shared" si="207"/>
        <v>5.5500000000000682</v>
      </c>
      <c r="D206" s="74">
        <f t="shared" si="208"/>
        <v>5.5500000000000682</v>
      </c>
      <c r="E206" s="74">
        <f t="shared" si="209"/>
        <v>0</v>
      </c>
      <c r="F206" s="75">
        <f t="shared" ref="F206:G206" si="224">AVERAGE(D206:D219)</f>
        <v>6.3035714285714368</v>
      </c>
      <c r="G206" s="75">
        <f t="shared" si="224"/>
        <v>8.3607142857142911</v>
      </c>
      <c r="H206" s="75">
        <f t="shared" si="211"/>
        <v>0.75395130286202527</v>
      </c>
      <c r="I206" s="76">
        <f t="shared" si="212"/>
        <v>42.985874330248436</v>
      </c>
    </row>
    <row r="207" spans="1:9" x14ac:dyDescent="0.25">
      <c r="A207" s="73">
        <v>45433</v>
      </c>
      <c r="B207" s="74">
        <v>603.9</v>
      </c>
      <c r="C207" s="74">
        <f t="shared" si="207"/>
        <v>6.1499999999999773</v>
      </c>
      <c r="D207" s="74">
        <f t="shared" si="208"/>
        <v>6.1499999999999773</v>
      </c>
      <c r="E207" s="74">
        <f t="shared" si="209"/>
        <v>0</v>
      </c>
      <c r="F207" s="75">
        <f t="shared" ref="F207:G207" si="225">AVERAGE(D207:D220)</f>
        <v>6.5285714285714347</v>
      </c>
      <c r="G207" s="75">
        <f t="shared" si="225"/>
        <v>8.3607142857142911</v>
      </c>
      <c r="H207" s="75">
        <f t="shared" si="211"/>
        <v>0.78086287911149099</v>
      </c>
      <c r="I207" s="76">
        <f t="shared" si="212"/>
        <v>43.847445430558899</v>
      </c>
    </row>
    <row r="208" spans="1:9" x14ac:dyDescent="0.25">
      <c r="A208" s="73">
        <v>45430</v>
      </c>
      <c r="B208" s="74">
        <v>597.75</v>
      </c>
      <c r="C208" s="74">
        <f t="shared" si="207"/>
        <v>3.8500000000000227</v>
      </c>
      <c r="D208" s="74">
        <f t="shared" si="208"/>
        <v>3.8500000000000227</v>
      </c>
      <c r="E208" s="74">
        <f t="shared" si="209"/>
        <v>0</v>
      </c>
      <c r="F208" s="75">
        <f t="shared" ref="F208:G208" si="226">AVERAGE(D208:D221)</f>
        <v>7.9642857142857224</v>
      </c>
      <c r="G208" s="75">
        <f t="shared" si="226"/>
        <v>8.3607142857142911</v>
      </c>
      <c r="H208" s="75">
        <f t="shared" si="211"/>
        <v>0.95258436565570304</v>
      </c>
      <c r="I208" s="76">
        <f t="shared" si="212"/>
        <v>48.785823670969158</v>
      </c>
    </row>
    <row r="209" spans="1:9" x14ac:dyDescent="0.25">
      <c r="A209" s="73">
        <v>45429</v>
      </c>
      <c r="B209" s="74">
        <v>593.9</v>
      </c>
      <c r="C209" s="74">
        <f t="shared" si="207"/>
        <v>-0.25</v>
      </c>
      <c r="D209" s="74">
        <f t="shared" si="208"/>
        <v>0</v>
      </c>
      <c r="E209" s="74">
        <f t="shared" si="209"/>
        <v>0.25</v>
      </c>
      <c r="F209" s="75">
        <f t="shared" ref="F209:G209" si="227">AVERAGE(D209:D222)</f>
        <v>7.8607142857142902</v>
      </c>
      <c r="G209" s="75">
        <f t="shared" si="227"/>
        <v>8.3607142857142911</v>
      </c>
      <c r="H209" s="75">
        <f t="shared" si="211"/>
        <v>0.9401964972234087</v>
      </c>
      <c r="I209" s="76">
        <f t="shared" si="212"/>
        <v>48.458828709819457</v>
      </c>
    </row>
    <row r="210" spans="1:9" x14ac:dyDescent="0.25">
      <c r="A210" s="73">
        <v>45428</v>
      </c>
      <c r="B210" s="74">
        <v>594.15</v>
      </c>
      <c r="C210" s="74">
        <f t="shared" si="207"/>
        <v>-3.8999999999999773</v>
      </c>
      <c r="D210" s="74">
        <f t="shared" si="208"/>
        <v>0</v>
      </c>
      <c r="E210" s="74">
        <f t="shared" si="209"/>
        <v>3.8999999999999773</v>
      </c>
      <c r="F210" s="75">
        <f t="shared" ref="F210:G210" si="228">AVERAGE(D210:D223)</f>
        <v>7.8607142857142902</v>
      </c>
      <c r="G210" s="75">
        <f t="shared" si="228"/>
        <v>8.6142857142857245</v>
      </c>
      <c r="H210" s="75">
        <f t="shared" si="211"/>
        <v>0.91252072968490827</v>
      </c>
      <c r="I210" s="76">
        <f t="shared" si="212"/>
        <v>47.712985042271825</v>
      </c>
    </row>
    <row r="211" spans="1:9" x14ac:dyDescent="0.25">
      <c r="A211" s="73">
        <v>45427</v>
      </c>
      <c r="B211" s="74">
        <v>598.04999999999995</v>
      </c>
      <c r="C211" s="74">
        <f t="shared" si="207"/>
        <v>-1.6500000000000909</v>
      </c>
      <c r="D211" s="74">
        <f t="shared" si="208"/>
        <v>0</v>
      </c>
      <c r="E211" s="74">
        <f t="shared" si="209"/>
        <v>1.6500000000000909</v>
      </c>
      <c r="F211" s="75">
        <f t="shared" ref="F211:G211" si="229">AVERAGE(D211:D224)</f>
        <v>8.1678571428571534</v>
      </c>
      <c r="G211" s="75">
        <f t="shared" si="229"/>
        <v>8.3357142857142978</v>
      </c>
      <c r="H211" s="75">
        <f t="shared" si="211"/>
        <v>0.97986289631533829</v>
      </c>
      <c r="I211" s="76">
        <f t="shared" si="212"/>
        <v>49.491452066652229</v>
      </c>
    </row>
    <row r="212" spans="1:9" x14ac:dyDescent="0.25">
      <c r="A212" s="73">
        <v>45426</v>
      </c>
      <c r="B212" s="74">
        <v>599.70000000000005</v>
      </c>
      <c r="C212" s="74">
        <f t="shared" si="207"/>
        <v>25.300000000000068</v>
      </c>
      <c r="D212" s="74">
        <f t="shared" si="208"/>
        <v>25.300000000000068</v>
      </c>
      <c r="E212" s="74">
        <f t="shared" si="209"/>
        <v>0</v>
      </c>
      <c r="F212" s="75">
        <f t="shared" ref="F212:G212" si="230">AVERAGE(D212:D225)</f>
        <v>8.1678571428571534</v>
      </c>
      <c r="G212" s="75">
        <f t="shared" si="230"/>
        <v>9.3571428571428648</v>
      </c>
      <c r="H212" s="75">
        <f t="shared" si="211"/>
        <v>0.87290076335877909</v>
      </c>
      <c r="I212" s="76">
        <f t="shared" si="212"/>
        <v>46.606888119013668</v>
      </c>
    </row>
    <row r="213" spans="1:9" x14ac:dyDescent="0.25">
      <c r="A213" s="73">
        <v>45425</v>
      </c>
      <c r="B213" s="74">
        <v>574.4</v>
      </c>
      <c r="C213" s="74">
        <f t="shared" si="207"/>
        <v>4.1499999999999773</v>
      </c>
      <c r="D213" s="74">
        <f t="shared" si="208"/>
        <v>4.1499999999999773</v>
      </c>
      <c r="E213" s="74">
        <f t="shared" si="209"/>
        <v>0</v>
      </c>
      <c r="F213" s="75">
        <f t="shared" ref="F213:G213" si="231">AVERAGE(D213:D226)</f>
        <v>6.710714285714289</v>
      </c>
      <c r="G213" s="75">
        <f t="shared" si="231"/>
        <v>9.3571428571428648</v>
      </c>
      <c r="H213" s="75">
        <f t="shared" si="211"/>
        <v>0.7171755725190837</v>
      </c>
      <c r="I213" s="76">
        <f t="shared" si="212"/>
        <v>41.764836630362296</v>
      </c>
    </row>
    <row r="214" spans="1:9" x14ac:dyDescent="0.25">
      <c r="A214" s="73">
        <v>45422</v>
      </c>
      <c r="B214" s="74">
        <v>570.25</v>
      </c>
      <c r="C214" s="74">
        <f t="shared" si="207"/>
        <v>39.299999999999955</v>
      </c>
      <c r="D214" s="74">
        <f t="shared" si="208"/>
        <v>39.299999999999955</v>
      </c>
      <c r="E214" s="74">
        <f t="shared" si="209"/>
        <v>0</v>
      </c>
      <c r="F214" s="75">
        <f t="shared" ref="F214:G214" si="232">AVERAGE(D214:D227)</f>
        <v>6.414285714285719</v>
      </c>
      <c r="G214" s="75">
        <f t="shared" si="232"/>
        <v>10.44642857142858</v>
      </c>
      <c r="H214" s="75">
        <f t="shared" si="211"/>
        <v>0.61401709401709392</v>
      </c>
      <c r="I214" s="76">
        <f t="shared" si="212"/>
        <v>38.042787545011649</v>
      </c>
    </row>
    <row r="215" spans="1:9" x14ac:dyDescent="0.25">
      <c r="A215" s="73">
        <v>45421</v>
      </c>
      <c r="B215" s="74">
        <v>530.95000000000005</v>
      </c>
      <c r="C215" s="74">
        <f t="shared" si="207"/>
        <v>-26.299999999999955</v>
      </c>
      <c r="D215" s="74">
        <f t="shared" si="208"/>
        <v>0</v>
      </c>
      <c r="E215" s="74">
        <f t="shared" si="209"/>
        <v>26.299999999999955</v>
      </c>
      <c r="F215" s="75">
        <f t="shared" ref="F215:G215" si="233">AVERAGE(D215:D228)</f>
        <v>3.6071428571428652</v>
      </c>
      <c r="G215" s="75">
        <f t="shared" si="233"/>
        <v>10.575000000000005</v>
      </c>
      <c r="H215" s="75">
        <f t="shared" si="211"/>
        <v>0.34110097939885237</v>
      </c>
      <c r="I215" s="76">
        <f t="shared" si="212"/>
        <v>25.434399395618271</v>
      </c>
    </row>
    <row r="216" spans="1:9" x14ac:dyDescent="0.25">
      <c r="A216" s="73">
        <v>45420</v>
      </c>
      <c r="B216" s="74">
        <v>557.25</v>
      </c>
      <c r="C216" s="74">
        <f t="shared" si="207"/>
        <v>-26.799999999999955</v>
      </c>
      <c r="D216" s="74">
        <f t="shared" si="208"/>
        <v>0</v>
      </c>
      <c r="E216" s="74">
        <f t="shared" si="209"/>
        <v>26.799999999999955</v>
      </c>
      <c r="F216" s="75">
        <f t="shared" ref="F216:G216" si="234">AVERAGE(D216:D229)</f>
        <v>5.4964285714285825</v>
      </c>
      <c r="G216" s="75">
        <f t="shared" si="234"/>
        <v>8.6964285714285801</v>
      </c>
      <c r="H216" s="75">
        <f t="shared" si="211"/>
        <v>0.63203285420944622</v>
      </c>
      <c r="I216" s="76">
        <f t="shared" si="212"/>
        <v>38.72672370407652</v>
      </c>
    </row>
    <row r="217" spans="1:9" x14ac:dyDescent="0.25">
      <c r="A217" s="73">
        <v>45419</v>
      </c>
      <c r="B217" s="74">
        <v>584.04999999999995</v>
      </c>
      <c r="C217" s="74">
        <f t="shared" si="207"/>
        <v>-33.5</v>
      </c>
      <c r="D217" s="74">
        <f t="shared" si="208"/>
        <v>0</v>
      </c>
      <c r="E217" s="74">
        <f t="shared" si="209"/>
        <v>33.5</v>
      </c>
      <c r="F217" s="75">
        <f t="shared" ref="F217:G217" si="235">AVERAGE(D217:D230)</f>
        <v>5.4964285714285825</v>
      </c>
      <c r="G217" s="75">
        <f t="shared" si="235"/>
        <v>7.3142857142857292</v>
      </c>
      <c r="H217" s="75">
        <f t="shared" si="211"/>
        <v>0.75146484375</v>
      </c>
      <c r="I217" s="76">
        <f t="shared" si="212"/>
        <v>42.904934485642599</v>
      </c>
    </row>
    <row r="218" spans="1:9" x14ac:dyDescent="0.25">
      <c r="A218" s="73">
        <v>45418</v>
      </c>
      <c r="B218" s="74">
        <v>617.54999999999995</v>
      </c>
      <c r="C218" s="74">
        <f t="shared" si="207"/>
        <v>-24.650000000000091</v>
      </c>
      <c r="D218" s="74">
        <f t="shared" si="208"/>
        <v>0</v>
      </c>
      <c r="E218" s="74">
        <f t="shared" si="209"/>
        <v>24.650000000000091</v>
      </c>
      <c r="F218" s="75">
        <f t="shared" ref="F218:G218" si="236">AVERAGE(D218:D231)</f>
        <v>5.4964285714285825</v>
      </c>
      <c r="G218" s="75">
        <f t="shared" si="236"/>
        <v>5.4178571428571605</v>
      </c>
      <c r="H218" s="75">
        <f t="shared" si="211"/>
        <v>1.0145023071852328</v>
      </c>
      <c r="I218" s="76">
        <f t="shared" si="212"/>
        <v>50.359947643979034</v>
      </c>
    </row>
    <row r="219" spans="1:9" x14ac:dyDescent="0.25">
      <c r="A219" s="73">
        <v>45415</v>
      </c>
      <c r="B219" s="74">
        <v>642.20000000000005</v>
      </c>
      <c r="C219" s="74">
        <f t="shared" si="207"/>
        <v>3.9500000000000455</v>
      </c>
      <c r="D219" s="74">
        <f t="shared" si="208"/>
        <v>3.9500000000000455</v>
      </c>
      <c r="E219" s="74">
        <f t="shared" si="209"/>
        <v>0</v>
      </c>
      <c r="F219" s="75">
        <f t="shared" ref="F219:G219" si="237">AVERAGE(D219:D232)</f>
        <v>5.5250000000000181</v>
      </c>
      <c r="G219" s="75">
        <f t="shared" si="237"/>
        <v>3.6571428571428686</v>
      </c>
      <c r="H219" s="75">
        <f t="shared" si="211"/>
        <v>1.5107421875000002</v>
      </c>
      <c r="I219" s="76">
        <f t="shared" si="212"/>
        <v>60.171139634383508</v>
      </c>
    </row>
    <row r="220" spans="1:9" x14ac:dyDescent="0.25">
      <c r="A220" s="73">
        <v>45414</v>
      </c>
      <c r="B220" s="74">
        <v>638.25</v>
      </c>
      <c r="C220" s="74">
        <f t="shared" si="207"/>
        <v>8.7000000000000455</v>
      </c>
      <c r="D220" s="74">
        <f t="shared" si="208"/>
        <v>8.7000000000000455</v>
      </c>
      <c r="E220" s="74">
        <f t="shared" si="209"/>
        <v>0</v>
      </c>
      <c r="F220" s="75">
        <f t="shared" ref="F220:G220" si="238">AVERAGE(D220:D233)</f>
        <v>5.4535714285714381</v>
      </c>
      <c r="G220" s="75">
        <f t="shared" si="238"/>
        <v>3.6571428571428686</v>
      </c>
      <c r="H220" s="75">
        <f t="shared" si="211"/>
        <v>1.491210937499998</v>
      </c>
      <c r="I220" s="76">
        <f t="shared" si="212"/>
        <v>59.858878871030939</v>
      </c>
    </row>
    <row r="221" spans="1:9" x14ac:dyDescent="0.25">
      <c r="A221" s="73">
        <v>45412</v>
      </c>
      <c r="B221" s="74">
        <v>629.54999999999995</v>
      </c>
      <c r="C221" s="74">
        <f t="shared" si="207"/>
        <v>26.25</v>
      </c>
      <c r="D221" s="74">
        <f t="shared" si="208"/>
        <v>26.25</v>
      </c>
      <c r="E221" s="74">
        <f t="shared" si="209"/>
        <v>0</v>
      </c>
      <c r="F221" s="75">
        <f t="shared" ref="F221:G221" si="239">AVERAGE(D221:D234)</f>
        <v>4.8321428571428635</v>
      </c>
      <c r="G221" s="75">
        <f t="shared" si="239"/>
        <v>4.6857142857142957</v>
      </c>
      <c r="H221" s="75">
        <f t="shared" si="211"/>
        <v>1.0312499999999991</v>
      </c>
      <c r="I221" s="76">
        <f t="shared" si="212"/>
        <v>50.769230769230745</v>
      </c>
    </row>
    <row r="222" spans="1:9" x14ac:dyDescent="0.25">
      <c r="A222" s="73">
        <v>45411</v>
      </c>
      <c r="B222" s="74">
        <v>603.29999999999995</v>
      </c>
      <c r="C222" s="74">
        <f t="shared" si="207"/>
        <v>2.3999999999999773</v>
      </c>
      <c r="D222" s="74">
        <f t="shared" si="208"/>
        <v>2.3999999999999773</v>
      </c>
      <c r="E222" s="74">
        <f t="shared" si="209"/>
        <v>0</v>
      </c>
      <c r="F222" s="75">
        <f t="shared" ref="F222:G222" si="240">AVERAGE(D222:D235)</f>
        <v>4.9857142857142902</v>
      </c>
      <c r="G222" s="75">
        <f t="shared" si="240"/>
        <v>4.6857142857142957</v>
      </c>
      <c r="H222" s="75">
        <f t="shared" si="211"/>
        <v>1.0640243902439011</v>
      </c>
      <c r="I222" s="76">
        <f t="shared" si="212"/>
        <v>51.550960118168355</v>
      </c>
    </row>
    <row r="223" spans="1:9" x14ac:dyDescent="0.25">
      <c r="A223" s="73">
        <v>45408</v>
      </c>
      <c r="B223" s="74">
        <v>600.9</v>
      </c>
      <c r="C223" s="74">
        <f t="shared" si="207"/>
        <v>-3.8000000000000682</v>
      </c>
      <c r="D223" s="74">
        <f t="shared" si="208"/>
        <v>0</v>
      </c>
      <c r="E223" s="74">
        <f t="shared" si="209"/>
        <v>3.8000000000000682</v>
      </c>
      <c r="F223" s="75">
        <f t="shared" ref="F223:G223" si="241">AVERAGE(D223:D236)</f>
        <v>5.960714285714297</v>
      </c>
      <c r="G223" s="75">
        <f t="shared" si="241"/>
        <v>4.6857142857142957</v>
      </c>
      <c r="H223" s="75">
        <f t="shared" si="211"/>
        <v>1.272103658536585</v>
      </c>
      <c r="I223" s="76">
        <f t="shared" si="212"/>
        <v>55.98792351559878</v>
      </c>
    </row>
    <row r="224" spans="1:9" x14ac:dyDescent="0.25">
      <c r="A224" s="73">
        <v>45407</v>
      </c>
      <c r="B224" s="74">
        <v>604.70000000000005</v>
      </c>
      <c r="C224" s="74">
        <f t="shared" si="207"/>
        <v>4.3000000000000682</v>
      </c>
      <c r="D224" s="74">
        <f t="shared" si="208"/>
        <v>4.3000000000000682</v>
      </c>
      <c r="E224" s="74">
        <f t="shared" si="209"/>
        <v>0</v>
      </c>
      <c r="F224" s="75">
        <f t="shared" ref="F224:G224" si="242">AVERAGE(D224:D237)</f>
        <v>6.0821428571428635</v>
      </c>
      <c r="G224" s="75">
        <f t="shared" si="242"/>
        <v>4.414285714285719</v>
      </c>
      <c r="H224" s="75">
        <f t="shared" si="211"/>
        <v>1.3778317152103559</v>
      </c>
      <c r="I224" s="76">
        <f t="shared" si="212"/>
        <v>57.944879210615852</v>
      </c>
    </row>
    <row r="225" spans="1:9" x14ac:dyDescent="0.25">
      <c r="A225" s="73">
        <v>45406</v>
      </c>
      <c r="B225" s="74">
        <v>600.4</v>
      </c>
      <c r="C225" s="74">
        <f t="shared" si="207"/>
        <v>-15.950000000000045</v>
      </c>
      <c r="D225" s="74">
        <f t="shared" si="208"/>
        <v>0</v>
      </c>
      <c r="E225" s="74">
        <f t="shared" si="209"/>
        <v>15.950000000000045</v>
      </c>
      <c r="F225" s="75">
        <f t="shared" ref="F225:G225" si="243">AVERAGE(D225:D238)</f>
        <v>8.5714285714285712</v>
      </c>
      <c r="G225" s="75">
        <f t="shared" si="243"/>
        <v>4.414285714285719</v>
      </c>
      <c r="H225" s="75">
        <f t="shared" si="211"/>
        <v>1.9417475728155318</v>
      </c>
      <c r="I225" s="76">
        <f t="shared" si="212"/>
        <v>66.006600660065985</v>
      </c>
    </row>
    <row r="226" spans="1:9" x14ac:dyDescent="0.25">
      <c r="A226" s="73">
        <v>45405</v>
      </c>
      <c r="B226" s="74">
        <v>616.35</v>
      </c>
      <c r="C226" s="74">
        <f t="shared" si="207"/>
        <v>4.8999999999999773</v>
      </c>
      <c r="D226" s="74">
        <f t="shared" si="208"/>
        <v>4.8999999999999773</v>
      </c>
      <c r="E226" s="74">
        <f t="shared" si="209"/>
        <v>0</v>
      </c>
      <c r="F226" s="75">
        <f t="shared" ref="F226:G226" si="244">AVERAGE(D226:D239)</f>
        <v>10.267857142857142</v>
      </c>
      <c r="G226" s="75">
        <f t="shared" si="244"/>
        <v>3.2750000000000017</v>
      </c>
      <c r="H226" s="75">
        <f t="shared" si="211"/>
        <v>3.1352235550708816</v>
      </c>
      <c r="I226" s="76">
        <f t="shared" si="212"/>
        <v>75.817510548523188</v>
      </c>
    </row>
    <row r="227" spans="1:9" x14ac:dyDescent="0.25">
      <c r="A227" s="73">
        <v>45404</v>
      </c>
      <c r="B227" s="74">
        <v>611.45000000000005</v>
      </c>
      <c r="C227" s="74">
        <f t="shared" si="207"/>
        <v>-15.25</v>
      </c>
      <c r="D227" s="74">
        <f t="shared" si="208"/>
        <v>0</v>
      </c>
      <c r="E227" s="74">
        <f t="shared" si="209"/>
        <v>15.25</v>
      </c>
      <c r="F227" s="75">
        <f t="shared" ref="F227:G227" si="245">AVERAGE(D227:D240)</f>
        <v>9.9178571428571445</v>
      </c>
      <c r="G227" s="75">
        <f t="shared" si="245"/>
        <v>4.0214285714285678</v>
      </c>
      <c r="H227" s="75">
        <f t="shared" si="211"/>
        <v>2.4662522202486703</v>
      </c>
      <c r="I227" s="76">
        <f t="shared" si="212"/>
        <v>71.150397130412529</v>
      </c>
    </row>
    <row r="228" spans="1:9" x14ac:dyDescent="0.25">
      <c r="A228" s="73">
        <v>45401</v>
      </c>
      <c r="B228" s="74">
        <v>626.70000000000005</v>
      </c>
      <c r="C228" s="74">
        <f t="shared" si="207"/>
        <v>-1.7999999999999545</v>
      </c>
      <c r="D228" s="74">
        <f t="shared" si="208"/>
        <v>0</v>
      </c>
      <c r="E228" s="74">
        <f t="shared" si="209"/>
        <v>1.7999999999999545</v>
      </c>
      <c r="F228" s="75">
        <f t="shared" ref="F228:G228" si="246">AVERAGE(D228:D241)</f>
        <v>10.792857142857144</v>
      </c>
      <c r="G228" s="75">
        <f t="shared" si="246"/>
        <v>2.9321428571428538</v>
      </c>
      <c r="H228" s="75">
        <f t="shared" si="211"/>
        <v>3.680876979293549</v>
      </c>
      <c r="I228" s="76">
        <f t="shared" si="212"/>
        <v>78.636481915170464</v>
      </c>
    </row>
    <row r="229" spans="1:9" x14ac:dyDescent="0.25">
      <c r="A229" s="73">
        <v>45400</v>
      </c>
      <c r="B229" s="74">
        <v>628.5</v>
      </c>
      <c r="C229" s="74">
        <f t="shared" si="207"/>
        <v>26.450000000000045</v>
      </c>
      <c r="D229" s="74">
        <f t="shared" si="208"/>
        <v>26.450000000000045</v>
      </c>
      <c r="E229" s="74">
        <f t="shared" si="209"/>
        <v>0</v>
      </c>
      <c r="F229" s="75">
        <f t="shared" ref="F229:G229" si="247">AVERAGE(D229:D242)</f>
        <v>11.039285714285711</v>
      </c>
      <c r="G229" s="75">
        <f t="shared" si="247"/>
        <v>2.8035714285714284</v>
      </c>
      <c r="H229" s="75">
        <f t="shared" si="211"/>
        <v>3.9375796178343938</v>
      </c>
      <c r="I229" s="76">
        <f t="shared" si="212"/>
        <v>79.747162022703819</v>
      </c>
    </row>
    <row r="230" spans="1:9" x14ac:dyDescent="0.25">
      <c r="A230" s="73">
        <v>45398</v>
      </c>
      <c r="B230" s="74">
        <v>602.04999999999995</v>
      </c>
      <c r="C230" s="74">
        <f t="shared" si="207"/>
        <v>-7.4500000000000455</v>
      </c>
      <c r="D230" s="74">
        <f t="shared" si="208"/>
        <v>0</v>
      </c>
      <c r="E230" s="74">
        <f t="shared" si="209"/>
        <v>7.4500000000000455</v>
      </c>
      <c r="F230" s="75">
        <f t="shared" ref="F230:G230" si="248">AVERAGE(D230:D243)</f>
        <v>9.1499999999999932</v>
      </c>
      <c r="G230" s="75">
        <f t="shared" si="248"/>
        <v>2.9642857142857144</v>
      </c>
      <c r="H230" s="75">
        <f t="shared" si="211"/>
        <v>3.086746987951805</v>
      </c>
      <c r="I230" s="76">
        <f t="shared" si="212"/>
        <v>75.530660377358487</v>
      </c>
    </row>
    <row r="231" spans="1:9" x14ac:dyDescent="0.25">
      <c r="A231" s="73">
        <v>45397</v>
      </c>
      <c r="B231" s="74">
        <v>609.5</v>
      </c>
      <c r="C231" s="74">
        <f t="shared" si="207"/>
        <v>-6.9500000000000455</v>
      </c>
      <c r="D231" s="74">
        <f t="shared" si="208"/>
        <v>0</v>
      </c>
      <c r="E231" s="74">
        <f t="shared" si="209"/>
        <v>6.9500000000000455</v>
      </c>
      <c r="F231" s="75">
        <f t="shared" ref="F231:G231" si="249">AVERAGE(D231:D244)</f>
        <v>9.9285714285714253</v>
      </c>
      <c r="G231" s="75">
        <f t="shared" si="249"/>
        <v>2.4321428571428538</v>
      </c>
      <c r="H231" s="75">
        <f t="shared" si="211"/>
        <v>4.0822320117474344</v>
      </c>
      <c r="I231" s="76">
        <f t="shared" si="212"/>
        <v>80.323605894250235</v>
      </c>
    </row>
    <row r="232" spans="1:9" x14ac:dyDescent="0.25">
      <c r="A232" s="73">
        <v>45394</v>
      </c>
      <c r="B232" s="74">
        <v>616.45000000000005</v>
      </c>
      <c r="C232" s="74">
        <f t="shared" si="207"/>
        <v>0.40000000000009095</v>
      </c>
      <c r="D232" s="74">
        <f t="shared" si="208"/>
        <v>0.40000000000009095</v>
      </c>
      <c r="E232" s="74">
        <f t="shared" si="209"/>
        <v>0</v>
      </c>
      <c r="F232" s="75">
        <f t="shared" ref="F232:G232" si="250">AVERAGE(D232:D245)</f>
        <v>11.028571428571427</v>
      </c>
      <c r="G232" s="75">
        <f t="shared" si="250"/>
        <v>1.9357142857142793</v>
      </c>
      <c r="H232" s="75">
        <f t="shared" si="211"/>
        <v>5.6974169741697596</v>
      </c>
      <c r="I232" s="76">
        <f t="shared" si="212"/>
        <v>85.068870523416024</v>
      </c>
    </row>
    <row r="233" spans="1:9" x14ac:dyDescent="0.25">
      <c r="A233" s="73">
        <v>45392</v>
      </c>
      <c r="B233" s="74">
        <v>616.04999999999995</v>
      </c>
      <c r="C233" s="74">
        <f t="shared" si="207"/>
        <v>2.9499999999999318</v>
      </c>
      <c r="D233" s="74">
        <f t="shared" si="208"/>
        <v>2.9499999999999318</v>
      </c>
      <c r="E233" s="74">
        <f t="shared" si="209"/>
        <v>0</v>
      </c>
      <c r="F233" s="75">
        <f t="shared" ref="F233:G233" si="251">AVERAGE(D233:D246)</f>
        <v>11.453571428571419</v>
      </c>
      <c r="G233" s="75">
        <f t="shared" si="251"/>
        <v>1.9357142857142793</v>
      </c>
      <c r="H233" s="75">
        <f t="shared" si="211"/>
        <v>5.916974169741712</v>
      </c>
      <c r="I233" s="76">
        <f t="shared" si="212"/>
        <v>85.542811416377731</v>
      </c>
    </row>
    <row r="234" spans="1:9" x14ac:dyDescent="0.25">
      <c r="A234" s="73">
        <v>45391</v>
      </c>
      <c r="B234" s="74">
        <v>613.1</v>
      </c>
      <c r="C234" s="74">
        <f t="shared" si="207"/>
        <v>-14.399999999999977</v>
      </c>
      <c r="D234" s="74">
        <f t="shared" si="208"/>
        <v>0</v>
      </c>
      <c r="E234" s="74">
        <f t="shared" si="209"/>
        <v>14.399999999999977</v>
      </c>
      <c r="F234" s="75">
        <f>AVERAGE(D234:D247)</f>
        <v>11.242857142857137</v>
      </c>
      <c r="G234" s="75">
        <f>AVERAGE(E234:E247)</f>
        <v>2.835714285714277</v>
      </c>
      <c r="H234" s="75">
        <f>F234/G234</f>
        <v>3.964735516372806</v>
      </c>
      <c r="I234" s="76">
        <f>IF(G234=0,100,100-(100/(1+H234)))</f>
        <v>79.857940131912784</v>
      </c>
    </row>
    <row r="235" spans="1:9" x14ac:dyDescent="0.25">
      <c r="A235" s="73">
        <v>45390</v>
      </c>
      <c r="B235" s="74">
        <v>627.5</v>
      </c>
      <c r="C235" s="74">
        <f t="shared" si="207"/>
        <v>28.399999999999977</v>
      </c>
      <c r="D235" s="74">
        <f t="shared" si="208"/>
        <v>28.399999999999977</v>
      </c>
      <c r="E235" s="74">
        <f t="shared" si="209"/>
        <v>0</v>
      </c>
      <c r="F235" s="74"/>
      <c r="G235" s="74"/>
      <c r="H235" s="74"/>
      <c r="I235" s="77"/>
    </row>
    <row r="236" spans="1:9" x14ac:dyDescent="0.25">
      <c r="A236" s="73">
        <v>45387</v>
      </c>
      <c r="B236" s="74">
        <v>599.1</v>
      </c>
      <c r="C236" s="74">
        <f t="shared" si="207"/>
        <v>16.050000000000068</v>
      </c>
      <c r="D236" s="74">
        <f t="shared" si="208"/>
        <v>16.050000000000068</v>
      </c>
      <c r="E236" s="74">
        <f t="shared" si="209"/>
        <v>0</v>
      </c>
      <c r="F236" s="74"/>
      <c r="G236" s="74"/>
      <c r="H236" s="74"/>
      <c r="I236" s="77"/>
    </row>
    <row r="237" spans="1:9" x14ac:dyDescent="0.25">
      <c r="A237" s="73">
        <v>45386</v>
      </c>
      <c r="B237" s="74">
        <v>583.04999999999995</v>
      </c>
      <c r="C237" s="74">
        <f t="shared" si="207"/>
        <v>1.6999999999999318</v>
      </c>
      <c r="D237" s="74">
        <f t="shared" si="208"/>
        <v>1.6999999999999318</v>
      </c>
      <c r="E237" s="74">
        <f t="shared" si="209"/>
        <v>0</v>
      </c>
      <c r="F237" s="74"/>
      <c r="G237" s="74"/>
      <c r="H237" s="74"/>
      <c r="I237" s="77"/>
    </row>
    <row r="238" spans="1:9" x14ac:dyDescent="0.25">
      <c r="A238" s="73">
        <v>45385</v>
      </c>
      <c r="B238" s="74">
        <v>581.35</v>
      </c>
      <c r="C238" s="74">
        <f t="shared" si="207"/>
        <v>39.149999999999977</v>
      </c>
      <c r="D238" s="74">
        <f t="shared" si="208"/>
        <v>39.149999999999977</v>
      </c>
      <c r="E238" s="74">
        <f t="shared" si="209"/>
        <v>0</v>
      </c>
      <c r="F238" s="74"/>
      <c r="G238" s="74"/>
      <c r="H238" s="74"/>
      <c r="I238" s="77"/>
    </row>
    <row r="239" spans="1:9" x14ac:dyDescent="0.25">
      <c r="A239" s="73">
        <v>45384</v>
      </c>
      <c r="B239" s="74">
        <v>542.20000000000005</v>
      </c>
      <c r="C239" s="74">
        <f t="shared" si="207"/>
        <v>23.75</v>
      </c>
      <c r="D239" s="74">
        <f t="shared" si="208"/>
        <v>23.75</v>
      </c>
      <c r="E239" s="74">
        <f t="shared" si="209"/>
        <v>0</v>
      </c>
      <c r="F239" s="74"/>
      <c r="G239" s="74"/>
      <c r="H239" s="74"/>
      <c r="I239" s="77"/>
    </row>
    <row r="240" spans="1:9" x14ac:dyDescent="0.25">
      <c r="A240" s="73">
        <v>45383</v>
      </c>
      <c r="B240" s="74">
        <v>518.45000000000005</v>
      </c>
      <c r="C240" s="74">
        <f t="shared" si="207"/>
        <v>-10.449999999999932</v>
      </c>
      <c r="D240" s="74">
        <f t="shared" si="208"/>
        <v>0</v>
      </c>
      <c r="E240" s="74">
        <f t="shared" si="209"/>
        <v>10.449999999999932</v>
      </c>
      <c r="F240" s="74"/>
      <c r="G240" s="74"/>
      <c r="H240" s="74"/>
      <c r="I240" s="77"/>
    </row>
    <row r="241" spans="1:9" x14ac:dyDescent="0.25">
      <c r="A241" s="73">
        <v>45379</v>
      </c>
      <c r="B241" s="74">
        <v>528.9</v>
      </c>
      <c r="C241" s="74">
        <f t="shared" si="207"/>
        <v>12.25</v>
      </c>
      <c r="D241" s="74">
        <f t="shared" si="208"/>
        <v>12.25</v>
      </c>
      <c r="E241" s="74">
        <f t="shared" si="209"/>
        <v>0</v>
      </c>
      <c r="F241" s="74"/>
      <c r="G241" s="74"/>
      <c r="H241" s="74"/>
      <c r="I241" s="77"/>
    </row>
    <row r="242" spans="1:9" x14ac:dyDescent="0.25">
      <c r="A242" s="73">
        <v>45378</v>
      </c>
      <c r="B242" s="74">
        <v>516.65</v>
      </c>
      <c r="C242" s="74">
        <f t="shared" si="207"/>
        <v>3.4499999999999318</v>
      </c>
      <c r="D242" s="74">
        <f t="shared" si="208"/>
        <v>3.4499999999999318</v>
      </c>
      <c r="E242" s="74">
        <f t="shared" si="209"/>
        <v>0</v>
      </c>
      <c r="F242" s="74"/>
      <c r="G242" s="74"/>
      <c r="H242" s="74"/>
      <c r="I242" s="77"/>
    </row>
    <row r="243" spans="1:9" x14ac:dyDescent="0.25">
      <c r="A243" s="73">
        <v>45377</v>
      </c>
      <c r="B243" s="74">
        <v>513.20000000000005</v>
      </c>
      <c r="C243" s="74">
        <f t="shared" si="207"/>
        <v>-2.25</v>
      </c>
      <c r="D243" s="74">
        <f t="shared" si="208"/>
        <v>0</v>
      </c>
      <c r="E243" s="74">
        <f t="shared" si="209"/>
        <v>2.25</v>
      </c>
      <c r="F243" s="74"/>
      <c r="G243" s="74"/>
      <c r="H243" s="74"/>
      <c r="I243" s="77"/>
    </row>
    <row r="244" spans="1:9" x14ac:dyDescent="0.25">
      <c r="A244" s="73">
        <v>45373</v>
      </c>
      <c r="B244" s="74">
        <v>515.45000000000005</v>
      </c>
      <c r="C244" s="74">
        <f t="shared" si="207"/>
        <v>10.900000000000034</v>
      </c>
      <c r="D244" s="74">
        <f t="shared" si="208"/>
        <v>10.900000000000034</v>
      </c>
      <c r="E244" s="74">
        <f t="shared" si="209"/>
        <v>0</v>
      </c>
      <c r="F244" s="74"/>
      <c r="G244" s="74"/>
      <c r="H244" s="74"/>
      <c r="I244" s="77"/>
    </row>
    <row r="245" spans="1:9" x14ac:dyDescent="0.25">
      <c r="A245" s="73">
        <v>45372</v>
      </c>
      <c r="B245" s="74">
        <v>504.55</v>
      </c>
      <c r="C245" s="74">
        <f t="shared" si="207"/>
        <v>15.400000000000034</v>
      </c>
      <c r="D245" s="74">
        <f t="shared" ref="D245:D246" si="252">IF(C245&gt;0,C245,0)</f>
        <v>15.400000000000034</v>
      </c>
      <c r="E245" s="74">
        <f t="shared" si="209"/>
        <v>0</v>
      </c>
      <c r="F245" s="74"/>
      <c r="G245" s="74"/>
      <c r="H245" s="74"/>
      <c r="I245" s="77"/>
    </row>
    <row r="246" spans="1:9" x14ac:dyDescent="0.25">
      <c r="A246" s="73">
        <v>45371</v>
      </c>
      <c r="B246" s="74">
        <v>489.15</v>
      </c>
      <c r="C246" s="74">
        <f t="shared" si="207"/>
        <v>6.3499999999999659</v>
      </c>
      <c r="D246" s="74">
        <f t="shared" si="252"/>
        <v>6.3499999999999659</v>
      </c>
      <c r="E246" s="74">
        <f t="shared" si="209"/>
        <v>0</v>
      </c>
      <c r="F246" s="74"/>
      <c r="G246" s="74"/>
      <c r="H246" s="74"/>
      <c r="I246" s="77"/>
    </row>
    <row r="247" spans="1:9" x14ac:dyDescent="0.25">
      <c r="A247" s="73">
        <v>45370</v>
      </c>
      <c r="B247" s="74">
        <v>482.8</v>
      </c>
      <c r="C247" s="74">
        <f>B247-B248</f>
        <v>-12.599999999999966</v>
      </c>
      <c r="D247" s="74">
        <f>IF(C247&gt;0,C247,0)</f>
        <v>0</v>
      </c>
      <c r="E247" s="74">
        <f>IF(C247&gt;0,0,ABS(C247))</f>
        <v>12.599999999999966</v>
      </c>
      <c r="F247" s="74"/>
      <c r="G247" s="74"/>
      <c r="H247" s="74"/>
      <c r="I247" s="77"/>
    </row>
    <row r="248" spans="1:9" x14ac:dyDescent="0.25">
      <c r="A248" s="78">
        <v>45369</v>
      </c>
      <c r="B248" s="79">
        <v>495.4</v>
      </c>
      <c r="C248" s="79"/>
      <c r="D248" s="79"/>
      <c r="E248" s="79"/>
      <c r="F248" s="79"/>
      <c r="G248" s="79"/>
      <c r="H248" s="79"/>
      <c r="I248" s="80"/>
    </row>
  </sheetData>
  <conditionalFormatting sqref="I1:I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88FB497-A7DE-46E3-94F2-A4BBAFD5799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H2:H234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0A36-706D-4897-A3B6-E605012BDD8F}">
  <dimension ref="A1:O248"/>
  <sheetViews>
    <sheetView workbookViewId="0">
      <pane ySplit="1" topLeftCell="A2" activePane="bottomLeft" state="frozen"/>
      <selection pane="bottomLeft" activeCell="J13" sqref="J13"/>
    </sheetView>
  </sheetViews>
  <sheetFormatPr defaultRowHeight="15" x14ac:dyDescent="0.25"/>
  <cols>
    <col min="1" max="1" width="11.28515625" customWidth="1"/>
    <col min="2" max="2" width="11.42578125" customWidth="1"/>
    <col min="3" max="3" width="13.42578125" customWidth="1"/>
    <col min="4" max="4" width="13.28515625" customWidth="1"/>
    <col min="5" max="5" width="12.5703125" customWidth="1"/>
    <col min="6" max="6" width="12.28515625" customWidth="1"/>
    <col min="7" max="7" width="12.140625" customWidth="1"/>
    <col min="12" max="12" width="16" bestFit="1" customWidth="1"/>
    <col min="14" max="14" width="9.85546875" bestFit="1" customWidth="1"/>
    <col min="15" max="15" width="37.28515625" bestFit="1" customWidth="1"/>
  </cols>
  <sheetData>
    <row r="1" spans="1:15" x14ac:dyDescent="0.25">
      <c r="A1" s="68" t="s">
        <v>0</v>
      </c>
      <c r="B1" s="69" t="s">
        <v>11</v>
      </c>
      <c r="C1" s="69" t="s">
        <v>72</v>
      </c>
      <c r="D1" s="69" t="s">
        <v>73</v>
      </c>
      <c r="E1" s="69" t="s">
        <v>78</v>
      </c>
      <c r="F1" s="69" t="s">
        <v>79</v>
      </c>
      <c r="G1" s="81" t="s">
        <v>74</v>
      </c>
    </row>
    <row r="2" spans="1:15" x14ac:dyDescent="0.25">
      <c r="A2" s="62">
        <v>45729</v>
      </c>
      <c r="B2" s="25">
        <v>514.1</v>
      </c>
      <c r="C2" s="26">
        <f t="shared" ref="C2:C65" si="0">((B2-C3)*$O$9)+C3</f>
        <v>600.5343992119856</v>
      </c>
      <c r="D2" s="26">
        <f t="shared" ref="D2:D65" si="1">((C2-D3)*$O$9)+D3</f>
        <v>610.68589594566595</v>
      </c>
      <c r="E2" s="26">
        <f t="shared" ref="E2:E65" si="2">C2-D2</f>
        <v>-10.151496733680347</v>
      </c>
      <c r="F2" s="26">
        <f t="shared" ref="F2:F65" si="3">((E2-F3)*$O$9+F3)</f>
        <v>15.805563317826429</v>
      </c>
      <c r="G2" s="71">
        <f t="shared" ref="G2:G65" si="4">E2-F2</f>
        <v>-25.957060051506776</v>
      </c>
    </row>
    <row r="3" spans="1:15" x14ac:dyDescent="0.25">
      <c r="A3" s="62">
        <v>45728</v>
      </c>
      <c r="B3" s="25">
        <v>515.20000000000005</v>
      </c>
      <c r="C3" s="26">
        <f t="shared" si="0"/>
        <v>601.23711790476602</v>
      </c>
      <c r="D3" s="26">
        <f t="shared" si="1"/>
        <v>610.76842843943575</v>
      </c>
      <c r="E3" s="26">
        <f t="shared" si="2"/>
        <v>-9.5313105346697284</v>
      </c>
      <c r="F3" s="26">
        <f t="shared" si="3"/>
        <v>16.016596326375264</v>
      </c>
      <c r="G3" s="71">
        <f t="shared" si="4"/>
        <v>-25.547906861044993</v>
      </c>
    </row>
    <row r="4" spans="1:15" x14ac:dyDescent="0.25">
      <c r="A4" s="62">
        <v>45727</v>
      </c>
      <c r="B4" s="25">
        <v>513.75</v>
      </c>
      <c r="C4" s="26">
        <f t="shared" si="0"/>
        <v>601.93660666821938</v>
      </c>
      <c r="D4" s="26">
        <f t="shared" si="1"/>
        <v>610.84591876898594</v>
      </c>
      <c r="E4" s="26">
        <f t="shared" si="2"/>
        <v>-8.9093121007665559</v>
      </c>
      <c r="F4" s="26">
        <f t="shared" si="3"/>
        <v>16.22430288622116</v>
      </c>
      <c r="G4" s="71">
        <f t="shared" si="4"/>
        <v>-25.133614986987716</v>
      </c>
    </row>
    <row r="5" spans="1:15" x14ac:dyDescent="0.25">
      <c r="A5" s="62">
        <v>45726</v>
      </c>
      <c r="B5" s="25">
        <v>505.35</v>
      </c>
      <c r="C5" s="26">
        <f t="shared" si="0"/>
        <v>602.65357095007482</v>
      </c>
      <c r="D5" s="26">
        <f t="shared" si="1"/>
        <v>610.91835220069947</v>
      </c>
      <c r="E5" s="26">
        <f t="shared" si="2"/>
        <v>-8.264781250624651</v>
      </c>
      <c r="F5" s="26">
        <f t="shared" si="3"/>
        <v>16.428641219448703</v>
      </c>
      <c r="G5" s="71">
        <f t="shared" si="4"/>
        <v>-24.693422470073354</v>
      </c>
      <c r="N5" s="13"/>
      <c r="O5" s="13" t="s">
        <v>69</v>
      </c>
    </row>
    <row r="6" spans="1:15" x14ac:dyDescent="0.25">
      <c r="A6" s="62">
        <v>45723</v>
      </c>
      <c r="B6" s="25">
        <v>491.7</v>
      </c>
      <c r="C6" s="26">
        <f t="shared" si="0"/>
        <v>603.4446568927583</v>
      </c>
      <c r="D6" s="26">
        <f t="shared" si="1"/>
        <v>610.98554554420048</v>
      </c>
      <c r="E6" s="26">
        <f t="shared" si="2"/>
        <v>-7.5408886514421738</v>
      </c>
      <c r="F6" s="26">
        <f t="shared" si="3"/>
        <v>16.629400751725722</v>
      </c>
      <c r="G6" s="71">
        <f t="shared" si="4"/>
        <v>-24.170289403167896</v>
      </c>
      <c r="N6" s="13"/>
      <c r="O6" s="13" t="s">
        <v>70</v>
      </c>
    </row>
    <row r="7" spans="1:15" x14ac:dyDescent="0.25">
      <c r="A7" s="62">
        <v>45722</v>
      </c>
      <c r="B7" s="25">
        <v>499.6</v>
      </c>
      <c r="C7" s="26">
        <f t="shared" si="0"/>
        <v>604.35315003822791</v>
      </c>
      <c r="D7" s="26">
        <f t="shared" si="1"/>
        <v>611.04685358201709</v>
      </c>
      <c r="E7" s="26">
        <f t="shared" si="2"/>
        <v>-6.6937035437891836</v>
      </c>
      <c r="F7" s="26">
        <f t="shared" si="3"/>
        <v>16.825907169637656</v>
      </c>
      <c r="G7" s="71">
        <f t="shared" si="4"/>
        <v>-23.51961071342684</v>
      </c>
      <c r="N7" s="13"/>
      <c r="O7" s="13" t="s">
        <v>71</v>
      </c>
    </row>
    <row r="8" spans="1:15" x14ac:dyDescent="0.25">
      <c r="A8" s="62">
        <v>45721</v>
      </c>
      <c r="B8" s="25">
        <v>509.1</v>
      </c>
      <c r="C8" s="26">
        <f t="shared" si="0"/>
        <v>605.20480166455502</v>
      </c>
      <c r="D8" s="26">
        <f t="shared" si="1"/>
        <v>611.10127393603159</v>
      </c>
      <c r="E8" s="26">
        <f t="shared" si="2"/>
        <v>-5.8964722714765685</v>
      </c>
      <c r="F8" s="26">
        <f t="shared" si="3"/>
        <v>17.01712351690129</v>
      </c>
      <c r="G8" s="71">
        <f t="shared" si="4"/>
        <v>-22.913595788377858</v>
      </c>
      <c r="N8" s="13"/>
      <c r="O8" s="13"/>
    </row>
    <row r="9" spans="1:15" x14ac:dyDescent="0.25">
      <c r="A9" s="62">
        <v>45720</v>
      </c>
      <c r="B9" s="25">
        <v>481.25</v>
      </c>
      <c r="C9" s="26">
        <f t="shared" si="0"/>
        <v>605.98614151548634</v>
      </c>
      <c r="D9" s="26">
        <f t="shared" si="1"/>
        <v>611.14921273498669</v>
      </c>
      <c r="E9" s="26">
        <f t="shared" si="2"/>
        <v>-5.1630712195003525</v>
      </c>
      <c r="F9" s="26">
        <f t="shared" si="3"/>
        <v>17.203412913554768</v>
      </c>
      <c r="G9" s="71">
        <f t="shared" si="4"/>
        <v>-22.366484133055121</v>
      </c>
      <c r="N9" s="13" t="s">
        <v>75</v>
      </c>
      <c r="O9" s="22">
        <f>2/(COUNT(B2:B248)+1)</f>
        <v>8.0645161290322578E-3</v>
      </c>
    </row>
    <row r="10" spans="1:15" x14ac:dyDescent="0.25">
      <c r="A10" s="62">
        <v>45719</v>
      </c>
      <c r="B10" s="25">
        <v>473.85</v>
      </c>
      <c r="C10" s="26">
        <f t="shared" si="0"/>
        <v>607.000256487157</v>
      </c>
      <c r="D10" s="26">
        <f t="shared" si="1"/>
        <v>611.19118892376309</v>
      </c>
      <c r="E10" s="26">
        <f t="shared" si="2"/>
        <v>-4.1909324366060901</v>
      </c>
      <c r="F10" s="26">
        <f t="shared" si="3"/>
        <v>17.385254247969851</v>
      </c>
      <c r="G10" s="71">
        <f t="shared" si="4"/>
        <v>-21.576186684575941</v>
      </c>
    </row>
    <row r="11" spans="1:15" x14ac:dyDescent="0.25">
      <c r="A11" s="62">
        <v>45716</v>
      </c>
      <c r="B11" s="25">
        <v>464.1</v>
      </c>
      <c r="C11" s="26">
        <f t="shared" si="0"/>
        <v>608.08277889762167</v>
      </c>
      <c r="D11" s="26">
        <f t="shared" si="1"/>
        <v>611.22526154519892</v>
      </c>
      <c r="E11" s="26">
        <f t="shared" si="2"/>
        <v>-3.1424826475772534</v>
      </c>
      <c r="F11" s="26">
        <f>((E11-F12)*$O$9+F12)</f>
        <v>17.560670399876972</v>
      </c>
      <c r="G11" s="71">
        <f t="shared" si="4"/>
        <v>-20.703153047454226</v>
      </c>
    </row>
    <row r="12" spans="1:15" x14ac:dyDescent="0.25">
      <c r="A12" s="62">
        <v>45715</v>
      </c>
      <c r="B12" s="25">
        <v>458.8</v>
      </c>
      <c r="C12" s="26">
        <f t="shared" si="0"/>
        <v>609.25337059597632</v>
      </c>
      <c r="D12" s="26">
        <f t="shared" si="1"/>
        <v>611.25081018461015</v>
      </c>
      <c r="E12" s="26">
        <f t="shared" si="2"/>
        <v>-1.9974395886338243</v>
      </c>
      <c r="F12" s="26">
        <f t="shared" si="3"/>
        <v>17.728988717335948</v>
      </c>
      <c r="G12" s="71">
        <f t="shared" si="4"/>
        <v>-19.726428305969772</v>
      </c>
    </row>
    <row r="13" spans="1:15" x14ac:dyDescent="0.25">
      <c r="A13" s="62">
        <v>45713</v>
      </c>
      <c r="B13" s="25">
        <v>467.25</v>
      </c>
      <c r="C13" s="26">
        <f t="shared" si="0"/>
        <v>610.47656873090295</v>
      </c>
      <c r="D13" s="26">
        <f t="shared" si="1"/>
        <v>611.26704953085925</v>
      </c>
      <c r="E13" s="26">
        <f t="shared" si="2"/>
        <v>-0.79048079995629905</v>
      </c>
      <c r="F13" s="26">
        <f t="shared" si="3"/>
        <v>17.889366183238142</v>
      </c>
      <c r="G13" s="71">
        <f t="shared" si="4"/>
        <v>-18.679846983194441</v>
      </c>
    </row>
    <row r="14" spans="1:15" x14ac:dyDescent="0.25">
      <c r="A14" s="62">
        <v>45712</v>
      </c>
      <c r="B14" s="25">
        <v>479.7</v>
      </c>
      <c r="C14" s="26">
        <f t="shared" si="0"/>
        <v>611.64101237912166</v>
      </c>
      <c r="D14" s="26">
        <f t="shared" si="1"/>
        <v>611.27347620402963</v>
      </c>
      <c r="E14" s="26">
        <f t="shared" si="2"/>
        <v>0.36753617509202741</v>
      </c>
      <c r="F14" s="26">
        <f t="shared" si="3"/>
        <v>18.04123485789826</v>
      </c>
      <c r="G14" s="71">
        <f t="shared" si="4"/>
        <v>-17.673698682806233</v>
      </c>
      <c r="L14" s="13" t="s">
        <v>77</v>
      </c>
      <c r="M14" s="23">
        <f>AVERAGE(C2:C237)</f>
        <v>601.13750945025072</v>
      </c>
    </row>
    <row r="15" spans="1:15" x14ac:dyDescent="0.25">
      <c r="A15" s="62">
        <v>45709</v>
      </c>
      <c r="B15" s="25">
        <v>496.6</v>
      </c>
      <c r="C15" s="26">
        <f t="shared" si="0"/>
        <v>612.71370353667555</v>
      </c>
      <c r="D15" s="26">
        <f t="shared" si="1"/>
        <v>611.27048810504516</v>
      </c>
      <c r="E15" s="26">
        <f t="shared" si="2"/>
        <v>1.4432154316303922</v>
      </c>
      <c r="F15" s="26">
        <f t="shared" si="3"/>
        <v>18.184923465075546</v>
      </c>
      <c r="G15" s="71">
        <f t="shared" si="4"/>
        <v>-16.741708033445153</v>
      </c>
      <c r="L15" s="13" t="s">
        <v>73</v>
      </c>
      <c r="M15" s="23">
        <f>AVERAGE(D2:D223)</f>
        <v>583.93970420424318</v>
      </c>
    </row>
    <row r="16" spans="1:15" x14ac:dyDescent="0.25">
      <c r="A16" s="62">
        <v>45708</v>
      </c>
      <c r="B16" s="25">
        <v>468.55</v>
      </c>
      <c r="C16" s="26">
        <f t="shared" si="0"/>
        <v>613.65771738656724</v>
      </c>
      <c r="D16" s="26">
        <f t="shared" si="1"/>
        <v>611.25875464625142</v>
      </c>
      <c r="E16" s="26">
        <f t="shared" si="2"/>
        <v>2.3989627403158238</v>
      </c>
      <c r="F16" s="26">
        <f t="shared" si="3"/>
        <v>18.321034912501929</v>
      </c>
      <c r="G16" s="71">
        <f t="shared" si="4"/>
        <v>-15.922072172186105</v>
      </c>
      <c r="L16" s="13" t="s">
        <v>78</v>
      </c>
      <c r="M16" s="23">
        <f xml:space="preserve"> AVERAGE(E2:E223)</f>
        <v>21.858492202886417</v>
      </c>
    </row>
    <row r="17" spans="1:13" x14ac:dyDescent="0.25">
      <c r="A17" s="62">
        <v>45707</v>
      </c>
      <c r="B17" s="25">
        <v>454.85</v>
      </c>
      <c r="C17" s="26">
        <f t="shared" si="0"/>
        <v>614.83745492629544</v>
      </c>
      <c r="D17" s="26">
        <f t="shared" si="1"/>
        <v>611.239250884135</v>
      </c>
      <c r="E17" s="26">
        <f t="shared" si="2"/>
        <v>3.5982040421604324</v>
      </c>
      <c r="F17" s="26">
        <f t="shared" si="3"/>
        <v>18.450482653739215</v>
      </c>
      <c r="G17" s="71">
        <f t="shared" si="4"/>
        <v>-14.852278611578782</v>
      </c>
      <c r="L17" s="13" t="s">
        <v>79</v>
      </c>
      <c r="M17" s="23">
        <f>AVERAGE(F2:F215)</f>
        <v>-5.1864998880803483</v>
      </c>
    </row>
    <row r="18" spans="1:13" x14ac:dyDescent="0.25">
      <c r="A18" s="62">
        <v>45706</v>
      </c>
      <c r="B18" s="25">
        <v>440.4</v>
      </c>
      <c r="C18" s="26">
        <f t="shared" si="0"/>
        <v>616.13816594195634</v>
      </c>
      <c r="D18" s="26">
        <f t="shared" si="1"/>
        <v>611.20999719273527</v>
      </c>
      <c r="E18" s="26">
        <f t="shared" si="2"/>
        <v>4.9281687492210722</v>
      </c>
      <c r="F18" s="26">
        <f t="shared" si="3"/>
        <v>18.571232886353677</v>
      </c>
      <c r="G18" s="71">
        <f t="shared" si="4"/>
        <v>-13.643064137132605</v>
      </c>
      <c r="L18" s="13" t="s">
        <v>80</v>
      </c>
      <c r="M18" s="23">
        <f>AVERAGE(G2:G215)</f>
        <v>29.181080122634679</v>
      </c>
    </row>
    <row r="19" spans="1:13" x14ac:dyDescent="0.25">
      <c r="A19" s="62">
        <v>45705</v>
      </c>
      <c r="B19" s="25">
        <v>431.5</v>
      </c>
      <c r="C19" s="26">
        <f t="shared" si="0"/>
        <v>617.56693151872025</v>
      </c>
      <c r="D19" s="26">
        <f t="shared" si="1"/>
        <v>611.16993078014002</v>
      </c>
      <c r="E19" s="26">
        <f t="shared" si="2"/>
        <v>6.3970007385802319</v>
      </c>
      <c r="F19" s="26">
        <f t="shared" si="3"/>
        <v>18.682152106980773</v>
      </c>
      <c r="G19" s="71">
        <f t="shared" si="4"/>
        <v>-12.285151368400541</v>
      </c>
    </row>
    <row r="20" spans="1:13" x14ac:dyDescent="0.25">
      <c r="A20" s="62">
        <v>45702</v>
      </c>
      <c r="B20" s="25">
        <v>437.1</v>
      </c>
      <c r="C20" s="26">
        <f t="shared" si="0"/>
        <v>619.0796707993602</v>
      </c>
      <c r="D20" s="26">
        <f t="shared" si="1"/>
        <v>611.11792264405403</v>
      </c>
      <c r="E20" s="26">
        <f t="shared" si="2"/>
        <v>7.961748155306168</v>
      </c>
      <c r="F20" s="26">
        <f t="shared" si="3"/>
        <v>18.782031386398664</v>
      </c>
      <c r="G20" s="71">
        <f t="shared" si="4"/>
        <v>-10.820283231092496</v>
      </c>
    </row>
    <row r="21" spans="1:13" x14ac:dyDescent="0.25">
      <c r="A21" s="62">
        <v>45701</v>
      </c>
      <c r="B21" s="25">
        <v>467.65</v>
      </c>
      <c r="C21" s="26">
        <f t="shared" si="0"/>
        <v>620.55918031805413</v>
      </c>
      <c r="D21" s="26">
        <f t="shared" si="1"/>
        <v>611.05319298425479</v>
      </c>
      <c r="E21" s="26">
        <f t="shared" si="2"/>
        <v>9.5059873337993395</v>
      </c>
      <c r="F21" s="26">
        <f t="shared" si="3"/>
        <v>18.87000116876527</v>
      </c>
      <c r="G21" s="71">
        <f t="shared" si="4"/>
        <v>-9.364013834965931</v>
      </c>
    </row>
    <row r="22" spans="1:13" x14ac:dyDescent="0.25">
      <c r="A22" s="62">
        <v>45700</v>
      </c>
      <c r="B22" s="25">
        <v>467.6</v>
      </c>
      <c r="C22" s="26">
        <f t="shared" si="0"/>
        <v>621.80234438568061</v>
      </c>
      <c r="D22" s="26">
        <f t="shared" si="1"/>
        <v>610.97590853438646</v>
      </c>
      <c r="E22" s="26">
        <f t="shared" si="2"/>
        <v>10.82643585129415</v>
      </c>
      <c r="F22" s="26">
        <f t="shared" si="3"/>
        <v>18.946131362545483</v>
      </c>
      <c r="G22" s="71">
        <f t="shared" si="4"/>
        <v>-8.1196955112513329</v>
      </c>
    </row>
    <row r="23" spans="1:13" x14ac:dyDescent="0.25">
      <c r="A23" s="62">
        <v>45699</v>
      </c>
      <c r="B23" s="25">
        <v>466.9</v>
      </c>
      <c r="C23" s="26">
        <f t="shared" si="0"/>
        <v>623.05602198231213</v>
      </c>
      <c r="D23" s="26">
        <f t="shared" si="1"/>
        <v>610.88788873071735</v>
      </c>
      <c r="E23" s="26">
        <f t="shared" si="2"/>
        <v>12.168133251594782</v>
      </c>
      <c r="F23" s="26">
        <f t="shared" si="3"/>
        <v>19.012145147189802</v>
      </c>
      <c r="G23" s="71">
        <f t="shared" si="4"/>
        <v>-6.8440118955950204</v>
      </c>
    </row>
    <row r="24" spans="1:13" x14ac:dyDescent="0.25">
      <c r="A24" s="62">
        <v>45698</v>
      </c>
      <c r="B24" s="25">
        <v>476.9</v>
      </c>
      <c r="C24" s="26">
        <f t="shared" si="0"/>
        <v>624.32558313663992</v>
      </c>
      <c r="D24" s="26">
        <f t="shared" si="1"/>
        <v>610.78896081810274</v>
      </c>
      <c r="E24" s="26">
        <f t="shared" si="2"/>
        <v>13.536622318537184</v>
      </c>
      <c r="F24" s="26">
        <f t="shared" si="3"/>
        <v>19.067787520324721</v>
      </c>
      <c r="G24" s="71">
        <f t="shared" si="4"/>
        <v>-5.5311652017875375</v>
      </c>
    </row>
    <row r="25" spans="1:13" x14ac:dyDescent="0.25">
      <c r="A25" s="62">
        <v>45695</v>
      </c>
      <c r="B25" s="25">
        <v>484.65</v>
      </c>
      <c r="C25" s="26">
        <f t="shared" si="0"/>
        <v>625.5241651133606</v>
      </c>
      <c r="D25" s="26">
        <f t="shared" si="1"/>
        <v>610.67890697811458</v>
      </c>
      <c r="E25" s="26">
        <f t="shared" si="2"/>
        <v>14.845258135246013</v>
      </c>
      <c r="F25" s="26">
        <f t="shared" si="3"/>
        <v>19.112756343103481</v>
      </c>
      <c r="G25" s="71">
        <f t="shared" si="4"/>
        <v>-4.2674982078574679</v>
      </c>
    </row>
    <row r="26" spans="1:13" x14ac:dyDescent="0.25">
      <c r="A26" s="62">
        <v>45694</v>
      </c>
      <c r="B26" s="25">
        <v>494.2</v>
      </c>
      <c r="C26" s="26">
        <f t="shared" si="0"/>
        <v>626.66948352891643</v>
      </c>
      <c r="D26" s="26">
        <f t="shared" si="1"/>
        <v>610.55821382254351</v>
      </c>
      <c r="E26" s="26">
        <f t="shared" si="2"/>
        <v>16.111269706372923</v>
      </c>
      <c r="F26" s="26">
        <f t="shared" si="3"/>
        <v>19.147451450484436</v>
      </c>
      <c r="G26" s="71">
        <f t="shared" si="4"/>
        <v>-3.0361817441115129</v>
      </c>
    </row>
    <row r="27" spans="1:13" x14ac:dyDescent="0.25">
      <c r="A27" s="62">
        <v>45693</v>
      </c>
      <c r="B27" s="25">
        <v>493.8</v>
      </c>
      <c r="C27" s="26">
        <f t="shared" si="0"/>
        <v>627.74647119988322</v>
      </c>
      <c r="D27" s="26">
        <f t="shared" si="1"/>
        <v>610.42722788997139</v>
      </c>
      <c r="E27" s="26">
        <f t="shared" si="2"/>
        <v>17.319243309911826</v>
      </c>
      <c r="F27" s="26">
        <f t="shared" si="3"/>
        <v>19.172135854908106</v>
      </c>
      <c r="G27" s="71">
        <f t="shared" si="4"/>
        <v>-1.8528925449962799</v>
      </c>
    </row>
    <row r="28" spans="1:13" x14ac:dyDescent="0.25">
      <c r="A28" s="62">
        <v>45692</v>
      </c>
      <c r="B28" s="25">
        <v>469.7</v>
      </c>
      <c r="C28" s="26">
        <f t="shared" si="0"/>
        <v>628.83546690069522</v>
      </c>
      <c r="D28" s="26">
        <f t="shared" si="1"/>
        <v>610.2864210337932</v>
      </c>
      <c r="E28" s="26">
        <f t="shared" si="2"/>
        <v>18.54904586690202</v>
      </c>
      <c r="F28" s="26">
        <f t="shared" si="3"/>
        <v>19.187200021940598</v>
      </c>
      <c r="G28" s="71">
        <f t="shared" si="4"/>
        <v>-0.63815415503857764</v>
      </c>
    </row>
    <row r="29" spans="1:13" x14ac:dyDescent="0.25">
      <c r="A29" s="62">
        <v>45691</v>
      </c>
      <c r="B29" s="25">
        <v>445.65</v>
      </c>
      <c r="C29" s="26">
        <f t="shared" si="0"/>
        <v>630.1292511844407</v>
      </c>
      <c r="D29" s="26">
        <f t="shared" si="1"/>
        <v>610.13561578284282</v>
      </c>
      <c r="E29" s="26">
        <f t="shared" si="2"/>
        <v>19.993635401597885</v>
      </c>
      <c r="F29" s="26">
        <f t="shared" si="3"/>
        <v>19.192388267103514</v>
      </c>
      <c r="G29" s="71">
        <f t="shared" si="4"/>
        <v>0.80124713449437124</v>
      </c>
    </row>
    <row r="30" spans="1:13" x14ac:dyDescent="0.25">
      <c r="A30" s="62">
        <v>45689</v>
      </c>
      <c r="B30" s="25">
        <v>472</v>
      </c>
      <c r="C30" s="26">
        <f t="shared" si="0"/>
        <v>631.62908249488328</v>
      </c>
      <c r="D30" s="26">
        <f t="shared" si="1"/>
        <v>609.97306590152903</v>
      </c>
      <c r="E30" s="26">
        <f t="shared" si="2"/>
        <v>21.656016593354252</v>
      </c>
      <c r="F30" s="26">
        <f t="shared" si="3"/>
        <v>19.185874062758032</v>
      </c>
      <c r="G30" s="71">
        <f t="shared" si="4"/>
        <v>2.4701425305962204</v>
      </c>
    </row>
    <row r="31" spans="1:13" x14ac:dyDescent="0.25">
      <c r="A31" s="62">
        <v>45688</v>
      </c>
      <c r="B31" s="25">
        <v>508.6</v>
      </c>
      <c r="C31" s="26">
        <f t="shared" si="0"/>
        <v>632.92687991354092</v>
      </c>
      <c r="D31" s="26">
        <f t="shared" si="1"/>
        <v>609.79700072597325</v>
      </c>
      <c r="E31" s="26">
        <f t="shared" si="2"/>
        <v>23.129879187567667</v>
      </c>
      <c r="F31" s="26">
        <f t="shared" si="3"/>
        <v>19.16579160315969</v>
      </c>
      <c r="G31" s="71">
        <f t="shared" si="4"/>
        <v>3.9640875844079773</v>
      </c>
    </row>
    <row r="32" spans="1:13" x14ac:dyDescent="0.25">
      <c r="A32" s="62">
        <v>45687</v>
      </c>
      <c r="B32" s="25">
        <v>483.85</v>
      </c>
      <c r="C32" s="26">
        <f t="shared" si="0"/>
        <v>633.93766755511444</v>
      </c>
      <c r="D32" s="26">
        <f t="shared" si="1"/>
        <v>609.60895292770033</v>
      </c>
      <c r="E32" s="26">
        <f t="shared" si="2"/>
        <v>24.328714627414115</v>
      </c>
      <c r="F32" s="26">
        <f t="shared" si="3"/>
        <v>19.133563248814909</v>
      </c>
      <c r="G32" s="71">
        <f t="shared" si="4"/>
        <v>5.1951513785992063</v>
      </c>
    </row>
    <row r="33" spans="1:7" x14ac:dyDescent="0.25">
      <c r="A33" s="62">
        <v>45686</v>
      </c>
      <c r="B33" s="25">
        <v>474.75</v>
      </c>
      <c r="C33" s="26">
        <f t="shared" si="0"/>
        <v>635.15789249458692</v>
      </c>
      <c r="D33" s="26">
        <f t="shared" si="1"/>
        <v>609.41115849983521</v>
      </c>
      <c r="E33" s="26">
        <f t="shared" si="2"/>
        <v>25.746733994751708</v>
      </c>
      <c r="F33" s="26">
        <f t="shared" si="3"/>
        <v>19.091326245736866</v>
      </c>
      <c r="G33" s="71">
        <f t="shared" si="4"/>
        <v>6.6554077490148416</v>
      </c>
    </row>
    <row r="34" spans="1:7" x14ac:dyDescent="0.25">
      <c r="A34" s="62">
        <v>45685</v>
      </c>
      <c r="B34" s="25">
        <v>504</v>
      </c>
      <c r="C34" s="26">
        <f t="shared" si="0"/>
        <v>636.46202170185995</v>
      </c>
      <c r="D34" s="26">
        <f t="shared" si="1"/>
        <v>609.20183545922748</v>
      </c>
      <c r="E34" s="26">
        <f t="shared" si="2"/>
        <v>27.260186242632471</v>
      </c>
      <c r="F34" s="26">
        <f t="shared" si="3"/>
        <v>19.037217239647315</v>
      </c>
      <c r="G34" s="71">
        <f t="shared" si="4"/>
        <v>8.2229690029851561</v>
      </c>
    </row>
    <row r="35" spans="1:7" x14ac:dyDescent="0.25">
      <c r="A35" s="62">
        <v>45684</v>
      </c>
      <c r="B35" s="25">
        <v>534.35</v>
      </c>
      <c r="C35" s="26">
        <f t="shared" si="0"/>
        <v>637.53894870756608</v>
      </c>
      <c r="D35" s="26">
        <f t="shared" si="1"/>
        <v>608.98020792879959</v>
      </c>
      <c r="E35" s="26">
        <f t="shared" si="2"/>
        <v>28.558740778766492</v>
      </c>
      <c r="F35" s="26">
        <f t="shared" si="3"/>
        <v>18.970363833118981</v>
      </c>
      <c r="G35" s="71">
        <f t="shared" si="4"/>
        <v>9.5883769456475108</v>
      </c>
    </row>
    <row r="36" spans="1:7" x14ac:dyDescent="0.25">
      <c r="A36" s="62">
        <v>45681</v>
      </c>
      <c r="B36" s="25">
        <v>544.15</v>
      </c>
      <c r="C36" s="26">
        <f t="shared" si="0"/>
        <v>638.37788324990402</v>
      </c>
      <c r="D36" s="26">
        <f t="shared" si="1"/>
        <v>608.74802304441937</v>
      </c>
      <c r="E36" s="26">
        <f t="shared" si="2"/>
        <v>29.629860205484647</v>
      </c>
      <c r="F36" s="26">
        <f t="shared" si="3"/>
        <v>18.892409549008025</v>
      </c>
      <c r="G36" s="71">
        <f t="shared" si="4"/>
        <v>10.737450656476621</v>
      </c>
    </row>
    <row r="37" spans="1:7" x14ac:dyDescent="0.25">
      <c r="A37" s="62">
        <v>45680</v>
      </c>
      <c r="B37" s="25">
        <v>552.1</v>
      </c>
      <c r="C37" s="26">
        <f t="shared" si="0"/>
        <v>639.14396360152921</v>
      </c>
      <c r="D37" s="26">
        <f t="shared" si="1"/>
        <v>608.507129872017</v>
      </c>
      <c r="E37" s="26">
        <f t="shared" si="2"/>
        <v>30.636833729512205</v>
      </c>
      <c r="F37" s="26">
        <f t="shared" si="3"/>
        <v>18.805113202207401</v>
      </c>
      <c r="G37" s="71">
        <f t="shared" si="4"/>
        <v>11.831720527304803</v>
      </c>
    </row>
    <row r="38" spans="1:7" x14ac:dyDescent="0.25">
      <c r="A38" s="62">
        <v>45679</v>
      </c>
      <c r="B38" s="25">
        <v>550</v>
      </c>
      <c r="C38" s="26">
        <f t="shared" si="0"/>
        <v>639.85163810235463</v>
      </c>
      <c r="D38" s="26">
        <f t="shared" si="1"/>
        <v>608.25804992299663</v>
      </c>
      <c r="E38" s="26">
        <f t="shared" si="2"/>
        <v>31.593588179357994</v>
      </c>
      <c r="F38" s="26">
        <f t="shared" si="3"/>
        <v>18.708920352391914</v>
      </c>
      <c r="G38" s="71">
        <f t="shared" si="4"/>
        <v>12.88466782696608</v>
      </c>
    </row>
    <row r="39" spans="1:7" x14ac:dyDescent="0.25">
      <c r="A39" s="62">
        <v>45678</v>
      </c>
      <c r="B39" s="25">
        <v>557.54999999999995</v>
      </c>
      <c r="C39" s="26">
        <f t="shared" si="0"/>
        <v>640.58213922513801</v>
      </c>
      <c r="D39" s="26">
        <f t="shared" si="1"/>
        <v>608.00119148251406</v>
      </c>
      <c r="E39" s="26">
        <f t="shared" si="2"/>
        <v>32.580947742623948</v>
      </c>
      <c r="F39" s="26">
        <f t="shared" si="3"/>
        <v>18.604166955424709</v>
      </c>
      <c r="G39" s="71">
        <f t="shared" si="4"/>
        <v>13.976780787199239</v>
      </c>
    </row>
    <row r="40" spans="1:7" x14ac:dyDescent="0.25">
      <c r="A40" s="62">
        <v>45677</v>
      </c>
      <c r="B40" s="25">
        <v>579.25</v>
      </c>
      <c r="C40" s="26">
        <f t="shared" si="0"/>
        <v>641.25719726761884</v>
      </c>
      <c r="D40" s="26">
        <f t="shared" si="1"/>
        <v>607.73630572850902</v>
      </c>
      <c r="E40" s="26">
        <f t="shared" si="2"/>
        <v>33.520891539109812</v>
      </c>
      <c r="F40" s="26">
        <f t="shared" si="3"/>
        <v>18.490534591301138</v>
      </c>
      <c r="G40" s="71">
        <f t="shared" si="4"/>
        <v>15.030356947808674</v>
      </c>
    </row>
    <row r="41" spans="1:7" x14ac:dyDescent="0.25">
      <c r="A41" s="62">
        <v>45674</v>
      </c>
      <c r="B41" s="25">
        <v>568</v>
      </c>
      <c r="C41" s="26">
        <f t="shared" si="0"/>
        <v>641.76132082264007</v>
      </c>
      <c r="D41" s="26">
        <f t="shared" si="1"/>
        <v>607.46377815502035</v>
      </c>
      <c r="E41" s="26">
        <f t="shared" si="2"/>
        <v>34.297542667619723</v>
      </c>
      <c r="F41" s="26">
        <f t="shared" si="3"/>
        <v>18.368336567335213</v>
      </c>
      <c r="G41" s="71">
        <f t="shared" si="4"/>
        <v>15.92920610028451</v>
      </c>
    </row>
    <row r="42" spans="1:7" x14ac:dyDescent="0.25">
      <c r="A42" s="62">
        <v>45673</v>
      </c>
      <c r="B42" s="25">
        <v>570.45000000000005</v>
      </c>
      <c r="C42" s="26">
        <f t="shared" si="0"/>
        <v>642.36100635778348</v>
      </c>
      <c r="D42" s="26">
        <f t="shared" si="1"/>
        <v>607.18493634471452</v>
      </c>
      <c r="E42" s="26">
        <f t="shared" si="2"/>
        <v>35.176070013068966</v>
      </c>
      <c r="F42" s="26">
        <f t="shared" si="3"/>
        <v>18.238830826682495</v>
      </c>
      <c r="G42" s="71">
        <f t="shared" si="4"/>
        <v>16.937239186386471</v>
      </c>
    </row>
    <row r="43" spans="1:7" x14ac:dyDescent="0.25">
      <c r="A43" s="62">
        <v>45672</v>
      </c>
      <c r="B43" s="25">
        <v>561.5</v>
      </c>
      <c r="C43" s="26">
        <f t="shared" si="0"/>
        <v>642.94564868589555</v>
      </c>
      <c r="D43" s="26">
        <f t="shared" si="1"/>
        <v>606.89895203566516</v>
      </c>
      <c r="E43" s="26">
        <f t="shared" si="2"/>
        <v>36.046696650230388</v>
      </c>
      <c r="F43" s="26">
        <f t="shared" si="3"/>
        <v>18.101129695085856</v>
      </c>
      <c r="G43" s="71">
        <f t="shared" si="4"/>
        <v>17.945566955144532</v>
      </c>
    </row>
    <row r="44" spans="1:7" x14ac:dyDescent="0.25">
      <c r="A44" s="62">
        <v>45671</v>
      </c>
      <c r="B44" s="25">
        <v>547.85</v>
      </c>
      <c r="C44" s="26">
        <f t="shared" si="0"/>
        <v>643.60780843130931</v>
      </c>
      <c r="D44" s="26">
        <f t="shared" si="1"/>
        <v>606.60588946127302</v>
      </c>
      <c r="E44" s="26">
        <f t="shared" si="2"/>
        <v>37.001918970036286</v>
      </c>
      <c r="F44" s="26">
        <f t="shared" si="3"/>
        <v>17.955230776751346</v>
      </c>
      <c r="G44" s="71">
        <f t="shared" si="4"/>
        <v>19.04668819328494</v>
      </c>
    </row>
    <row r="45" spans="1:7" x14ac:dyDescent="0.25">
      <c r="A45" s="62">
        <v>45670</v>
      </c>
      <c r="B45" s="25">
        <v>517.75</v>
      </c>
      <c r="C45" s="26">
        <f t="shared" si="0"/>
        <v>644.38632719904354</v>
      </c>
      <c r="D45" s="26">
        <f t="shared" si="1"/>
        <v>606.30506085176057</v>
      </c>
      <c r="E45" s="26">
        <f t="shared" si="2"/>
        <v>38.081266347282963</v>
      </c>
      <c r="F45" s="26">
        <f t="shared" si="3"/>
        <v>17.800379653228703</v>
      </c>
      <c r="G45" s="71">
        <f t="shared" si="4"/>
        <v>20.28088669405426</v>
      </c>
    </row>
    <row r="46" spans="1:7" x14ac:dyDescent="0.25">
      <c r="A46" s="62">
        <v>45667</v>
      </c>
      <c r="B46" s="25">
        <v>539.6</v>
      </c>
      <c r="C46" s="26">
        <f t="shared" si="0"/>
        <v>645.41589083480812</v>
      </c>
      <c r="D46" s="26">
        <f t="shared" si="1"/>
        <v>605.99545706031927</v>
      </c>
      <c r="E46" s="26">
        <f t="shared" si="2"/>
        <v>39.420433774488856</v>
      </c>
      <c r="F46" s="26">
        <f t="shared" si="3"/>
        <v>17.635494395553465</v>
      </c>
      <c r="G46" s="71">
        <f t="shared" si="4"/>
        <v>21.784939378935391</v>
      </c>
    </row>
    <row r="47" spans="1:7" x14ac:dyDescent="0.25">
      <c r="A47" s="62">
        <v>45666</v>
      </c>
      <c r="B47" s="25">
        <v>557.65</v>
      </c>
      <c r="C47" s="26">
        <f t="shared" si="0"/>
        <v>646.27618263021304</v>
      </c>
      <c r="D47" s="26">
        <f t="shared" si="1"/>
        <v>605.67496572881942</v>
      </c>
      <c r="E47" s="26">
        <f t="shared" si="2"/>
        <v>40.601216901393627</v>
      </c>
      <c r="F47" s="26">
        <f t="shared" si="3"/>
        <v>17.458381067269439</v>
      </c>
      <c r="G47" s="71">
        <f t="shared" si="4"/>
        <v>23.142835834124188</v>
      </c>
    </row>
    <row r="48" spans="1:7" x14ac:dyDescent="0.25">
      <c r="A48" s="62">
        <v>45665</v>
      </c>
      <c r="B48" s="25">
        <v>579.35</v>
      </c>
      <c r="C48" s="26">
        <f t="shared" si="0"/>
        <v>646.99672070037741</v>
      </c>
      <c r="D48" s="26">
        <f t="shared" si="1"/>
        <v>605.34487453449913</v>
      </c>
      <c r="E48" s="26">
        <f t="shared" si="2"/>
        <v>41.651846165878283</v>
      </c>
      <c r="F48" s="26">
        <f t="shared" si="3"/>
        <v>17.270227930406641</v>
      </c>
      <c r="G48" s="71">
        <f t="shared" si="4"/>
        <v>24.381618235471642</v>
      </c>
    </row>
    <row r="49" spans="1:7" x14ac:dyDescent="0.25">
      <c r="A49" s="62">
        <v>45664</v>
      </c>
      <c r="B49" s="25">
        <v>595.65</v>
      </c>
      <c r="C49" s="26">
        <f t="shared" si="0"/>
        <v>647.54669403940488</v>
      </c>
      <c r="D49" s="26">
        <f t="shared" si="1"/>
        <v>605.00624163884163</v>
      </c>
      <c r="E49" s="26">
        <f t="shared" si="2"/>
        <v>42.540452400563254</v>
      </c>
      <c r="F49" s="26">
        <f t="shared" si="3"/>
        <v>17.072003391906872</v>
      </c>
      <c r="G49" s="71">
        <f t="shared" si="4"/>
        <v>25.468449008656382</v>
      </c>
    </row>
    <row r="50" spans="1:7" x14ac:dyDescent="0.25">
      <c r="A50" s="62">
        <v>45663</v>
      </c>
      <c r="B50" s="25">
        <v>601.54999999999995</v>
      </c>
      <c r="C50" s="26">
        <f t="shared" si="0"/>
        <v>647.96861838118866</v>
      </c>
      <c r="D50" s="26">
        <f t="shared" si="1"/>
        <v>604.66038430225171</v>
      </c>
      <c r="E50" s="26">
        <f t="shared" si="2"/>
        <v>43.308234078936948</v>
      </c>
      <c r="F50" s="26">
        <f t="shared" si="3"/>
        <v>16.864942830860883</v>
      </c>
      <c r="G50" s="71">
        <f t="shared" si="4"/>
        <v>26.443291248076065</v>
      </c>
    </row>
    <row r="51" spans="1:7" x14ac:dyDescent="0.25">
      <c r="A51" s="62">
        <v>45660</v>
      </c>
      <c r="B51" s="25">
        <v>634.4</v>
      </c>
      <c r="C51" s="26">
        <f t="shared" si="0"/>
        <v>648.34600552249913</v>
      </c>
      <c r="D51" s="26">
        <f t="shared" si="1"/>
        <v>604.30828483819528</v>
      </c>
      <c r="E51" s="26">
        <f t="shared" si="2"/>
        <v>44.037720684303849</v>
      </c>
      <c r="F51" s="26">
        <f t="shared" si="3"/>
        <v>16.649956723152947</v>
      </c>
      <c r="G51" s="71">
        <f t="shared" si="4"/>
        <v>27.387763961150903</v>
      </c>
    </row>
    <row r="52" spans="1:7" x14ac:dyDescent="0.25">
      <c r="A52" s="62">
        <v>45659</v>
      </c>
      <c r="B52" s="25">
        <v>641</v>
      </c>
      <c r="C52" s="26">
        <f t="shared" si="0"/>
        <v>648.45938768121869</v>
      </c>
      <c r="D52" s="26">
        <f t="shared" si="1"/>
        <v>603.95025458872942</v>
      </c>
      <c r="E52" s="26">
        <f t="shared" si="2"/>
        <v>44.509133092489265</v>
      </c>
      <c r="F52" s="26">
        <f t="shared" si="3"/>
        <v>16.427291975501312</v>
      </c>
      <c r="G52" s="71">
        <f t="shared" si="4"/>
        <v>28.081841116987952</v>
      </c>
    </row>
    <row r="53" spans="1:7" x14ac:dyDescent="0.25">
      <c r="A53" s="62">
        <v>45658</v>
      </c>
      <c r="B53" s="25">
        <v>644.29999999999995</v>
      </c>
      <c r="C53" s="26">
        <f t="shared" si="0"/>
        <v>648.52003310952125</v>
      </c>
      <c r="D53" s="26">
        <f t="shared" si="1"/>
        <v>603.5883917180588</v>
      </c>
      <c r="E53" s="26">
        <f t="shared" si="2"/>
        <v>44.931641391462449</v>
      </c>
      <c r="F53" s="26">
        <f t="shared" si="3"/>
        <v>16.198984324143687</v>
      </c>
      <c r="G53" s="71">
        <f t="shared" si="4"/>
        <v>28.732657067318762</v>
      </c>
    </row>
    <row r="54" spans="1:7" x14ac:dyDescent="0.25">
      <c r="A54" s="62">
        <v>45657</v>
      </c>
      <c r="B54" s="25">
        <v>642.65</v>
      </c>
      <c r="C54" s="26">
        <f t="shared" si="0"/>
        <v>648.5543423217938</v>
      </c>
      <c r="D54" s="26">
        <f t="shared" si="1"/>
        <v>603.22309382056721</v>
      </c>
      <c r="E54" s="26">
        <f t="shared" si="2"/>
        <v>45.331248501226582</v>
      </c>
      <c r="F54" s="26">
        <f t="shared" si="3"/>
        <v>15.965385486198008</v>
      </c>
      <c r="G54" s="71">
        <f t="shared" si="4"/>
        <v>29.365863015028573</v>
      </c>
    </row>
    <row r="55" spans="1:7" x14ac:dyDescent="0.25">
      <c r="A55" s="62">
        <v>45656</v>
      </c>
      <c r="B55" s="25">
        <v>643.5</v>
      </c>
      <c r="C55" s="26">
        <f t="shared" si="0"/>
        <v>648.60234510489784</v>
      </c>
      <c r="D55" s="26">
        <f t="shared" si="1"/>
        <v>602.85454708478494</v>
      </c>
      <c r="E55" s="26">
        <f t="shared" si="2"/>
        <v>45.747798020112896</v>
      </c>
      <c r="F55" s="26">
        <f t="shared" si="3"/>
        <v>15.726638632417288</v>
      </c>
      <c r="G55" s="71">
        <f t="shared" si="4"/>
        <v>30.021159387695608</v>
      </c>
    </row>
    <row r="56" spans="1:7" x14ac:dyDescent="0.25">
      <c r="A56" s="62">
        <v>45653</v>
      </c>
      <c r="B56" s="25">
        <v>625.79999999999995</v>
      </c>
      <c r="C56" s="26">
        <f t="shared" si="0"/>
        <v>648.64382758542547</v>
      </c>
      <c r="D56" s="26">
        <f t="shared" si="1"/>
        <v>602.48261376754829</v>
      </c>
      <c r="E56" s="26">
        <f t="shared" si="2"/>
        <v>46.161213817877183</v>
      </c>
      <c r="F56" s="26">
        <f t="shared" si="3"/>
        <v>15.482564165850658</v>
      </c>
      <c r="G56" s="71">
        <f t="shared" si="4"/>
        <v>30.678649652026525</v>
      </c>
    </row>
    <row r="57" spans="1:7" x14ac:dyDescent="0.25">
      <c r="A57" s="62">
        <v>45652</v>
      </c>
      <c r="B57" s="25">
        <v>636.5</v>
      </c>
      <c r="C57" s="26">
        <f t="shared" si="0"/>
        <v>648.82954976091673</v>
      </c>
      <c r="D57" s="26">
        <f t="shared" si="1"/>
        <v>602.10731934626472</v>
      </c>
      <c r="E57" s="26">
        <f t="shared" si="2"/>
        <v>46.722230414652017</v>
      </c>
      <c r="F57" s="26">
        <f t="shared" si="3"/>
        <v>15.233144249980523</v>
      </c>
      <c r="G57" s="71">
        <f t="shared" si="4"/>
        <v>31.489086164671495</v>
      </c>
    </row>
    <row r="58" spans="1:7" x14ac:dyDescent="0.25">
      <c r="A58" s="62">
        <v>45650</v>
      </c>
      <c r="B58" s="25">
        <v>648.04999999999995</v>
      </c>
      <c r="C58" s="26">
        <f t="shared" si="0"/>
        <v>648.92979000287539</v>
      </c>
      <c r="D58" s="26">
        <f t="shared" si="1"/>
        <v>601.72746381443824</v>
      </c>
      <c r="E58" s="26">
        <f t="shared" si="2"/>
        <v>47.202326188437155</v>
      </c>
      <c r="F58" s="26">
        <f t="shared" si="3"/>
        <v>14.977135419373438</v>
      </c>
      <c r="G58" s="71">
        <f t="shared" si="4"/>
        <v>32.225190769063715</v>
      </c>
    </row>
    <row r="59" spans="1:7" x14ac:dyDescent="0.25">
      <c r="A59" s="62">
        <v>45649</v>
      </c>
      <c r="B59" s="25">
        <v>659.7</v>
      </c>
      <c r="C59" s="26">
        <f t="shared" si="0"/>
        <v>648.93694276712642</v>
      </c>
      <c r="D59" s="26">
        <f t="shared" si="1"/>
        <v>601.34370506493872</v>
      </c>
      <c r="E59" s="26">
        <f t="shared" si="2"/>
        <v>47.593237702187707</v>
      </c>
      <c r="F59" s="26">
        <f t="shared" si="3"/>
        <v>14.715141998486741</v>
      </c>
      <c r="G59" s="71">
        <f t="shared" si="4"/>
        <v>32.878095703700964</v>
      </c>
    </row>
    <row r="60" spans="1:7" x14ac:dyDescent="0.25">
      <c r="A60" s="62">
        <v>45646</v>
      </c>
      <c r="B60" s="25">
        <v>669.8</v>
      </c>
      <c r="C60" s="26">
        <f t="shared" si="0"/>
        <v>648.84943823677781</v>
      </c>
      <c r="D60" s="26">
        <f t="shared" si="1"/>
        <v>600.95676817305105</v>
      </c>
      <c r="E60" s="26">
        <f t="shared" si="2"/>
        <v>47.892670063726769</v>
      </c>
      <c r="F60" s="26">
        <f t="shared" si="3"/>
        <v>14.447840407399742</v>
      </c>
      <c r="G60" s="71">
        <f t="shared" si="4"/>
        <v>33.44482965632703</v>
      </c>
    </row>
    <row r="61" spans="1:7" x14ac:dyDescent="0.25">
      <c r="A61" s="62">
        <v>45645</v>
      </c>
      <c r="B61" s="25">
        <v>685</v>
      </c>
      <c r="C61" s="26">
        <f t="shared" si="0"/>
        <v>648.67910846634516</v>
      </c>
      <c r="D61" s="26">
        <f t="shared" si="1"/>
        <v>600.56739687171989</v>
      </c>
      <c r="E61" s="26">
        <f t="shared" si="2"/>
        <v>48.111711594625262</v>
      </c>
      <c r="F61" s="26">
        <f t="shared" si="3"/>
        <v>14.17593122320196</v>
      </c>
      <c r="G61" s="71">
        <f t="shared" si="4"/>
        <v>33.935780371423306</v>
      </c>
    </row>
    <row r="62" spans="1:7" x14ac:dyDescent="0.25">
      <c r="A62" s="62">
        <v>45644</v>
      </c>
      <c r="B62" s="25">
        <v>682.05</v>
      </c>
      <c r="C62" s="26">
        <f t="shared" si="0"/>
        <v>648.38381666525856</v>
      </c>
      <c r="D62" s="26">
        <f t="shared" si="1"/>
        <v>600.17624474493437</v>
      </c>
      <c r="E62" s="26">
        <f t="shared" si="2"/>
        <v>48.207571920324199</v>
      </c>
      <c r="F62" s="26">
        <f t="shared" si="3"/>
        <v>13.900030569775755</v>
      </c>
      <c r="G62" s="71">
        <f t="shared" si="4"/>
        <v>34.307541350548448</v>
      </c>
    </row>
    <row r="63" spans="1:7" x14ac:dyDescent="0.25">
      <c r="A63" s="62">
        <v>45643</v>
      </c>
      <c r="B63" s="25">
        <v>685.15</v>
      </c>
      <c r="C63" s="26">
        <f t="shared" si="0"/>
        <v>648.11010785765905</v>
      </c>
      <c r="D63" s="26">
        <f t="shared" si="1"/>
        <v>599.78431326590737</v>
      </c>
      <c r="E63" s="26">
        <f t="shared" si="2"/>
        <v>48.325794591751674</v>
      </c>
      <c r="F63" s="26">
        <f t="shared" si="3"/>
        <v>13.621107469364793</v>
      </c>
      <c r="G63" s="71">
        <f t="shared" si="4"/>
        <v>34.704687122386879</v>
      </c>
    </row>
    <row r="64" spans="1:7" x14ac:dyDescent="0.25">
      <c r="A64" s="62">
        <v>45642</v>
      </c>
      <c r="B64" s="25">
        <v>688.95</v>
      </c>
      <c r="C64" s="26">
        <f t="shared" si="0"/>
        <v>647.80897052316845</v>
      </c>
      <c r="D64" s="26">
        <f t="shared" si="1"/>
        <v>599.39142062695009</v>
      </c>
      <c r="E64" s="26">
        <f t="shared" si="2"/>
        <v>48.417549896218361</v>
      </c>
      <c r="F64" s="26">
        <f t="shared" si="3"/>
        <v>13.338955541540509</v>
      </c>
      <c r="G64" s="71">
        <f t="shared" si="4"/>
        <v>35.078594354677854</v>
      </c>
    </row>
    <row r="65" spans="1:7" x14ac:dyDescent="0.25">
      <c r="A65" s="62">
        <v>45639</v>
      </c>
      <c r="B65" s="25">
        <v>678.6</v>
      </c>
      <c r="C65" s="26">
        <f t="shared" si="0"/>
        <v>647.4744906087227</v>
      </c>
      <c r="D65" s="26">
        <f t="shared" si="1"/>
        <v>598.99778200990772</v>
      </c>
      <c r="E65" s="26">
        <f t="shared" si="2"/>
        <v>48.47670859881498</v>
      </c>
      <c r="F65" s="26">
        <f t="shared" si="3"/>
        <v>13.053763717518738</v>
      </c>
      <c r="G65" s="71">
        <f t="shared" si="4"/>
        <v>35.422944881296246</v>
      </c>
    </row>
    <row r="66" spans="1:7" x14ac:dyDescent="0.25">
      <c r="A66" s="62">
        <v>45638</v>
      </c>
      <c r="B66" s="25">
        <v>685.25</v>
      </c>
      <c r="C66" s="26">
        <f t="shared" ref="C66:C129" si="5">((B66-C67)*$O$9)+C67</f>
        <v>647.22143768684236</v>
      </c>
      <c r="D66" s="26">
        <f t="shared" ref="D66:D129" si="6">((C66-D67)*$O$9)+D67</f>
        <v>598.60366242780356</v>
      </c>
      <c r="E66" s="26">
        <f t="shared" ref="E66:E129" si="7">C66-D66</f>
        <v>48.617775259038808</v>
      </c>
      <c r="F66" s="26">
        <f t="shared" ref="F66:F129" si="8">((E66-F67)*$O$9+F67)</f>
        <v>12.76577229571958</v>
      </c>
      <c r="G66" s="71">
        <f t="shared" ref="G66:G129" si="9">E66-F66</f>
        <v>35.852002963319229</v>
      </c>
    </row>
    <row r="67" spans="1:7" x14ac:dyDescent="0.25">
      <c r="A67" s="62">
        <v>45637</v>
      </c>
      <c r="B67" s="25">
        <v>677.6</v>
      </c>
      <c r="C67" s="26">
        <f t="shared" si="5"/>
        <v>646.91226238348338</v>
      </c>
      <c r="D67" s="26">
        <f t="shared" si="6"/>
        <v>598.20839596228291</v>
      </c>
      <c r="E67" s="26">
        <f t="shared" si="7"/>
        <v>48.703866421200473</v>
      </c>
      <c r="F67" s="26">
        <f t="shared" si="8"/>
        <v>12.474292596830807</v>
      </c>
      <c r="G67" s="71">
        <f t="shared" si="9"/>
        <v>36.229573824369666</v>
      </c>
    </row>
    <row r="68" spans="1:7" x14ac:dyDescent="0.25">
      <c r="A68" s="62">
        <v>45636</v>
      </c>
      <c r="B68" s="25">
        <v>668</v>
      </c>
      <c r="C68" s="26">
        <f t="shared" si="5"/>
        <v>646.66276858172307</v>
      </c>
      <c r="D68" s="26">
        <f t="shared" si="6"/>
        <v>597.81242956861456</v>
      </c>
      <c r="E68" s="26">
        <f t="shared" si="7"/>
        <v>48.85033901310851</v>
      </c>
      <c r="F68" s="26">
        <f t="shared" si="8"/>
        <v>12.179743216144875</v>
      </c>
      <c r="G68" s="71">
        <f t="shared" si="9"/>
        <v>36.670595796963639</v>
      </c>
    </row>
    <row r="69" spans="1:7" x14ac:dyDescent="0.25">
      <c r="A69" s="62">
        <v>45635</v>
      </c>
      <c r="B69" s="25">
        <v>675.2</v>
      </c>
      <c r="C69" s="26">
        <f t="shared" si="5"/>
        <v>646.48929515555824</v>
      </c>
      <c r="D69" s="26">
        <f t="shared" si="6"/>
        <v>597.41527234086573</v>
      </c>
      <c r="E69" s="26">
        <f t="shared" si="7"/>
        <v>49.074022814692512</v>
      </c>
      <c r="F69" s="26">
        <f t="shared" si="8"/>
        <v>11.881608290966309</v>
      </c>
      <c r="G69" s="71">
        <f t="shared" si="9"/>
        <v>37.1924145237262</v>
      </c>
    </row>
    <row r="70" spans="1:7" x14ac:dyDescent="0.25">
      <c r="A70" s="62">
        <v>45632</v>
      </c>
      <c r="B70" s="25">
        <v>674.35</v>
      </c>
      <c r="C70" s="26">
        <f t="shared" si="5"/>
        <v>646.2558747909693</v>
      </c>
      <c r="D70" s="26">
        <f t="shared" si="6"/>
        <v>597.0162965456243</v>
      </c>
      <c r="E70" s="26">
        <f t="shared" si="7"/>
        <v>49.239578245345001</v>
      </c>
      <c r="F70" s="26">
        <f t="shared" si="8"/>
        <v>11.579230937114877</v>
      </c>
      <c r="G70" s="71">
        <f t="shared" si="9"/>
        <v>37.660347308230122</v>
      </c>
    </row>
    <row r="71" spans="1:7" x14ac:dyDescent="0.25">
      <c r="A71" s="62">
        <v>45631</v>
      </c>
      <c r="B71" s="25">
        <v>664.15</v>
      </c>
      <c r="C71" s="26">
        <f t="shared" si="5"/>
        <v>646.02746726894463</v>
      </c>
      <c r="D71" s="26">
        <f t="shared" si="6"/>
        <v>596.61597477127191</v>
      </c>
      <c r="E71" s="26">
        <f t="shared" si="7"/>
        <v>49.411492497672725</v>
      </c>
      <c r="F71" s="26">
        <f t="shared" si="8"/>
        <v>11.273049251682112</v>
      </c>
      <c r="G71" s="71">
        <f t="shared" si="9"/>
        <v>38.138443245990615</v>
      </c>
    </row>
    <row r="72" spans="1:7" x14ac:dyDescent="0.25">
      <c r="A72" s="62">
        <v>45630</v>
      </c>
      <c r="B72" s="25">
        <v>648.4</v>
      </c>
      <c r="C72" s="26">
        <f t="shared" si="5"/>
        <v>645.88012960446451</v>
      </c>
      <c r="D72" s="26">
        <f t="shared" si="6"/>
        <v>596.21425532007129</v>
      </c>
      <c r="E72" s="26">
        <f t="shared" si="7"/>
        <v>49.665874284393226</v>
      </c>
      <c r="F72" s="26">
        <f t="shared" si="8"/>
        <v>10.962980607405765</v>
      </c>
      <c r="G72" s="71">
        <f t="shared" si="9"/>
        <v>38.702893676987458</v>
      </c>
    </row>
    <row r="73" spans="1:7" x14ac:dyDescent="0.25">
      <c r="A73" s="62">
        <v>45629</v>
      </c>
      <c r="B73" s="25">
        <v>642.95000000000005</v>
      </c>
      <c r="C73" s="26">
        <f t="shared" si="5"/>
        <v>645.85964285328134</v>
      </c>
      <c r="D73" s="26">
        <f t="shared" si="6"/>
        <v>595.81046772426316</v>
      </c>
      <c r="E73" s="26">
        <f t="shared" si="7"/>
        <v>50.049175129018181</v>
      </c>
      <c r="F73" s="26">
        <f t="shared" si="8"/>
        <v>10.648322935235136</v>
      </c>
      <c r="G73" s="71">
        <f t="shared" si="9"/>
        <v>39.400852193783045</v>
      </c>
    </row>
    <row r="74" spans="1:7" x14ac:dyDescent="0.25">
      <c r="A74" s="62">
        <v>45628</v>
      </c>
      <c r="B74" s="25">
        <v>645.65</v>
      </c>
      <c r="C74" s="26">
        <f t="shared" si="5"/>
        <v>645.88329848623482</v>
      </c>
      <c r="D74" s="26">
        <f t="shared" si="6"/>
        <v>595.4035638614256</v>
      </c>
      <c r="E74" s="26">
        <f t="shared" si="7"/>
        <v>50.479734624809225</v>
      </c>
      <c r="F74" s="26">
        <f t="shared" si="8"/>
        <v>10.327990803578363</v>
      </c>
      <c r="G74" s="71">
        <f t="shared" si="9"/>
        <v>40.151743821230866</v>
      </c>
    </row>
    <row r="75" spans="1:7" x14ac:dyDescent="0.25">
      <c r="A75" s="62">
        <v>45625</v>
      </c>
      <c r="B75" s="25">
        <v>654.65</v>
      </c>
      <c r="C75" s="26">
        <f t="shared" si="5"/>
        <v>645.88519522189529</v>
      </c>
      <c r="D75" s="26">
        <f t="shared" si="6"/>
        <v>594.99315951488245</v>
      </c>
      <c r="E75" s="26">
        <f t="shared" si="7"/>
        <v>50.892035707012838</v>
      </c>
      <c r="F75" s="26">
        <f t="shared" si="8"/>
        <v>10.001553861942339</v>
      </c>
      <c r="G75" s="71">
        <f t="shared" si="9"/>
        <v>40.890481845070497</v>
      </c>
    </row>
    <row r="76" spans="1:7" x14ac:dyDescent="0.25">
      <c r="A76" s="62">
        <v>45624</v>
      </c>
      <c r="B76" s="25">
        <v>662.8</v>
      </c>
      <c r="C76" s="26">
        <f t="shared" si="5"/>
        <v>645.8139366464635</v>
      </c>
      <c r="D76" s="26">
        <f t="shared" si="6"/>
        <v>594.57940312702056</v>
      </c>
      <c r="E76" s="26">
        <f t="shared" si="7"/>
        <v>51.234533519442948</v>
      </c>
      <c r="F76" s="26">
        <f t="shared" si="8"/>
        <v>9.6691109201124981</v>
      </c>
      <c r="G76" s="71">
        <f t="shared" si="9"/>
        <v>41.565422599330446</v>
      </c>
    </row>
    <row r="77" spans="1:7" x14ac:dyDescent="0.25">
      <c r="A77" s="62">
        <v>45623</v>
      </c>
      <c r="B77" s="25">
        <v>673.3</v>
      </c>
      <c r="C77" s="26">
        <f t="shared" si="5"/>
        <v>645.67583857041848</v>
      </c>
      <c r="D77" s="26">
        <f t="shared" si="6"/>
        <v>594.16286220409825</v>
      </c>
      <c r="E77" s="26">
        <f t="shared" si="7"/>
        <v>51.512976366320231</v>
      </c>
      <c r="F77" s="26">
        <f t="shared" si="8"/>
        <v>9.3311806550772918</v>
      </c>
      <c r="G77" s="71">
        <f t="shared" si="9"/>
        <v>42.181795711242941</v>
      </c>
    </row>
    <row r="78" spans="1:7" x14ac:dyDescent="0.25">
      <c r="A78" s="62">
        <v>45622</v>
      </c>
      <c r="B78" s="25">
        <v>657.4</v>
      </c>
      <c r="C78" s="26">
        <f t="shared" si="5"/>
        <v>645.45125189212922</v>
      </c>
      <c r="D78" s="26">
        <f t="shared" si="6"/>
        <v>593.74405751819324</v>
      </c>
      <c r="E78" s="26">
        <f t="shared" si="7"/>
        <v>51.707194373935977</v>
      </c>
      <c r="F78" s="26">
        <f t="shared" si="8"/>
        <v>8.9882392265306006</v>
      </c>
      <c r="G78" s="71">
        <f t="shared" si="9"/>
        <v>42.718955147405374</v>
      </c>
    </row>
    <row r="79" spans="1:7" x14ac:dyDescent="0.25">
      <c r="A79" s="62">
        <v>45621</v>
      </c>
      <c r="B79" s="25">
        <v>675.05</v>
      </c>
      <c r="C79" s="26">
        <f t="shared" si="5"/>
        <v>645.35410759856927</v>
      </c>
      <c r="D79" s="26">
        <f t="shared" si="6"/>
        <v>593.3236738240962</v>
      </c>
      <c r="E79" s="26">
        <f t="shared" si="7"/>
        <v>52.030433774473067</v>
      </c>
      <c r="F79" s="26">
        <f t="shared" si="8"/>
        <v>8.6409306480964112</v>
      </c>
      <c r="G79" s="71">
        <f t="shared" si="9"/>
        <v>43.389503126376653</v>
      </c>
    </row>
    <row r="80" spans="1:7" x14ac:dyDescent="0.25">
      <c r="A80" s="62">
        <v>45618</v>
      </c>
      <c r="B80" s="25">
        <v>688.9</v>
      </c>
      <c r="C80" s="26">
        <f t="shared" si="5"/>
        <v>645.11267757904545</v>
      </c>
      <c r="D80" s="26">
        <f t="shared" si="6"/>
        <v>592.90066216739319</v>
      </c>
      <c r="E80" s="26">
        <f t="shared" si="7"/>
        <v>52.21201541165226</v>
      </c>
      <c r="F80" s="26">
        <f t="shared" si="8"/>
        <v>8.2881704600770885</v>
      </c>
      <c r="G80" s="71">
        <f t="shared" si="9"/>
        <v>43.92384495157517</v>
      </c>
    </row>
    <row r="81" spans="1:7" x14ac:dyDescent="0.25">
      <c r="A81" s="62">
        <v>45617</v>
      </c>
      <c r="B81" s="25">
        <v>699.15</v>
      </c>
      <c r="C81" s="26">
        <f t="shared" si="5"/>
        <v>644.75668308781815</v>
      </c>
      <c r="D81" s="26">
        <f t="shared" si="6"/>
        <v>592.47617423721715</v>
      </c>
      <c r="E81" s="26">
        <f t="shared" si="7"/>
        <v>52.280508850600995</v>
      </c>
      <c r="F81" s="26">
        <f t="shared" si="8"/>
        <v>7.9310660295764768</v>
      </c>
      <c r="G81" s="71">
        <f t="shared" si="9"/>
        <v>44.349442821024518</v>
      </c>
    </row>
    <row r="82" spans="1:7" x14ac:dyDescent="0.25">
      <c r="A82" s="62">
        <v>45615</v>
      </c>
      <c r="B82" s="25">
        <v>709.9</v>
      </c>
      <c r="C82" s="26">
        <f t="shared" si="5"/>
        <v>644.31446099910124</v>
      </c>
      <c r="D82" s="26">
        <f t="shared" si="6"/>
        <v>592.05112944981386</v>
      </c>
      <c r="E82" s="26">
        <f t="shared" si="7"/>
        <v>52.263331549287386</v>
      </c>
      <c r="F82" s="26">
        <f t="shared" si="8"/>
        <v>7.5705014537957895</v>
      </c>
      <c r="G82" s="71">
        <f t="shared" si="9"/>
        <v>44.692830095491594</v>
      </c>
    </row>
    <row r="83" spans="1:7" x14ac:dyDescent="0.25">
      <c r="A83" s="62">
        <v>45614</v>
      </c>
      <c r="B83" s="25">
        <v>712.8</v>
      </c>
      <c r="C83" s="26">
        <f t="shared" si="5"/>
        <v>643.78124523486633</v>
      </c>
      <c r="D83" s="26">
        <f t="shared" si="6"/>
        <v>591.62622431526677</v>
      </c>
      <c r="E83" s="26">
        <f t="shared" si="7"/>
        <v>52.155020919599565</v>
      </c>
      <c r="F83" s="26">
        <f t="shared" si="8"/>
        <v>7.2071451115560201</v>
      </c>
      <c r="G83" s="71">
        <f t="shared" si="9"/>
        <v>44.947875808043548</v>
      </c>
    </row>
    <row r="84" spans="1:7" x14ac:dyDescent="0.25">
      <c r="A84" s="62">
        <v>45610</v>
      </c>
      <c r="B84" s="25">
        <v>732</v>
      </c>
      <c r="C84" s="26">
        <f t="shared" si="5"/>
        <v>643.22011714734492</v>
      </c>
      <c r="D84" s="26">
        <f t="shared" si="6"/>
        <v>591.20219975494479</v>
      </c>
      <c r="E84" s="26">
        <f t="shared" si="7"/>
        <v>52.017917392400136</v>
      </c>
      <c r="F84" s="26">
        <f t="shared" si="8"/>
        <v>6.8417152269377794</v>
      </c>
      <c r="G84" s="71">
        <f t="shared" si="9"/>
        <v>45.176202165462357</v>
      </c>
    </row>
    <row r="85" spans="1:7" x14ac:dyDescent="0.25">
      <c r="A85" s="62">
        <v>45609</v>
      </c>
      <c r="B85" s="25">
        <v>728.95</v>
      </c>
      <c r="C85" s="26">
        <f t="shared" si="5"/>
        <v>642.49832948187623</v>
      </c>
      <c r="D85" s="26">
        <f t="shared" si="6"/>
        <v>590.77928985744563</v>
      </c>
      <c r="E85" s="26">
        <f t="shared" si="7"/>
        <v>51.719039624430593</v>
      </c>
      <c r="F85" s="26">
        <f t="shared" si="8"/>
        <v>6.4744290304706054</v>
      </c>
      <c r="G85" s="71">
        <f t="shared" si="9"/>
        <v>45.24461059395999</v>
      </c>
    </row>
    <row r="86" spans="1:7" x14ac:dyDescent="0.25">
      <c r="A86" s="62">
        <v>45608</v>
      </c>
      <c r="B86" s="25">
        <v>750.05</v>
      </c>
      <c r="C86" s="26">
        <f t="shared" si="5"/>
        <v>641.79547037197278</v>
      </c>
      <c r="D86" s="26">
        <f t="shared" si="6"/>
        <v>590.35880986049904</v>
      </c>
      <c r="E86" s="26">
        <f t="shared" si="7"/>
        <v>51.436660511473747</v>
      </c>
      <c r="F86" s="26">
        <f t="shared" si="8"/>
        <v>6.1065866679180854</v>
      </c>
      <c r="G86" s="71">
        <f t="shared" si="9"/>
        <v>45.33007384355566</v>
      </c>
    </row>
    <row r="87" spans="1:7" x14ac:dyDescent="0.25">
      <c r="A87" s="62">
        <v>45607</v>
      </c>
      <c r="B87" s="25">
        <v>739.25</v>
      </c>
      <c r="C87" s="26">
        <f t="shared" si="5"/>
        <v>640.91535224491565</v>
      </c>
      <c r="D87" s="26">
        <f t="shared" si="6"/>
        <v>589.9406256286984</v>
      </c>
      <c r="E87" s="26">
        <f t="shared" si="7"/>
        <v>50.974726616217254</v>
      </c>
      <c r="F87" s="26">
        <f t="shared" si="8"/>
        <v>5.7380494821981207</v>
      </c>
      <c r="G87" s="71">
        <f t="shared" si="9"/>
        <v>45.236677134019132</v>
      </c>
    </row>
    <row r="88" spans="1:7" x14ac:dyDescent="0.25">
      <c r="A88" s="62">
        <v>45604</v>
      </c>
      <c r="B88" s="25">
        <v>712.05</v>
      </c>
      <c r="C88" s="26">
        <f t="shared" si="5"/>
        <v>640.11588356397999</v>
      </c>
      <c r="D88" s="26">
        <f t="shared" si="6"/>
        <v>589.52619695702185</v>
      </c>
      <c r="E88" s="26">
        <f t="shared" si="7"/>
        <v>50.589686606958139</v>
      </c>
      <c r="F88" s="26">
        <f t="shared" si="8"/>
        <v>5.370271619319916</v>
      </c>
      <c r="G88" s="71">
        <f t="shared" si="9"/>
        <v>45.219414987638224</v>
      </c>
    </row>
    <row r="89" spans="1:7" x14ac:dyDescent="0.25">
      <c r="A89" s="62">
        <v>45603</v>
      </c>
      <c r="B89" s="25">
        <v>714.8</v>
      </c>
      <c r="C89" s="26">
        <f t="shared" si="5"/>
        <v>639.53105334905297</v>
      </c>
      <c r="D89" s="26">
        <f t="shared" si="6"/>
        <v>589.11489869192462</v>
      </c>
      <c r="E89" s="26">
        <f t="shared" si="7"/>
        <v>50.416154657128345</v>
      </c>
      <c r="F89" s="26">
        <f t="shared" si="8"/>
        <v>5.0026340990952152</v>
      </c>
      <c r="G89" s="71">
        <f t="shared" si="9"/>
        <v>45.413520558033127</v>
      </c>
    </row>
    <row r="90" spans="1:7" x14ac:dyDescent="0.25">
      <c r="A90" s="62">
        <v>45602</v>
      </c>
      <c r="B90" s="25">
        <v>682.6</v>
      </c>
      <c r="C90" s="26">
        <f t="shared" si="5"/>
        <v>638.91911069335424</v>
      </c>
      <c r="D90" s="26">
        <f t="shared" si="6"/>
        <v>588.70501125568785</v>
      </c>
      <c r="E90" s="26">
        <f t="shared" si="7"/>
        <v>50.214099437666391</v>
      </c>
      <c r="F90" s="26">
        <f t="shared" si="8"/>
        <v>4.633418484802263</v>
      </c>
      <c r="G90" s="71">
        <f t="shared" si="9"/>
        <v>45.580680952864128</v>
      </c>
    </row>
    <row r="91" spans="1:7" x14ac:dyDescent="0.25">
      <c r="A91" s="62">
        <v>45601</v>
      </c>
      <c r="B91" s="25">
        <v>654.79999999999995</v>
      </c>
      <c r="C91" s="26">
        <f t="shared" si="5"/>
        <v>638.56398151199937</v>
      </c>
      <c r="D91" s="26">
        <f t="shared" si="6"/>
        <v>588.2967665448125</v>
      </c>
      <c r="E91" s="26">
        <f t="shared" si="7"/>
        <v>50.267214967186874</v>
      </c>
      <c r="F91" s="26">
        <f t="shared" si="8"/>
        <v>4.2628438429090583</v>
      </c>
      <c r="G91" s="71">
        <f t="shared" si="9"/>
        <v>46.004371124277817</v>
      </c>
    </row>
    <row r="92" spans="1:7" x14ac:dyDescent="0.25">
      <c r="A92" s="62">
        <v>45600</v>
      </c>
      <c r="B92" s="25">
        <v>663.15</v>
      </c>
      <c r="C92" s="26">
        <f t="shared" si="5"/>
        <v>638.43198136169042</v>
      </c>
      <c r="D92" s="26">
        <f t="shared" si="6"/>
        <v>587.88809000036383</v>
      </c>
      <c r="E92" s="26">
        <f t="shared" si="7"/>
        <v>50.543891361326587</v>
      </c>
      <c r="F92" s="26">
        <f t="shared" si="8"/>
        <v>3.8888245654759057</v>
      </c>
      <c r="G92" s="71">
        <f t="shared" si="9"/>
        <v>46.655066795850679</v>
      </c>
    </row>
    <row r="93" spans="1:7" x14ac:dyDescent="0.25">
      <c r="A93" s="62">
        <v>45597</v>
      </c>
      <c r="B93" s="25">
        <v>682.65</v>
      </c>
      <c r="C93" s="26">
        <f t="shared" si="5"/>
        <v>638.23102186056599</v>
      </c>
      <c r="D93" s="26">
        <f t="shared" si="6"/>
        <v>587.47716405433675</v>
      </c>
      <c r="E93" s="26">
        <f t="shared" si="7"/>
        <v>50.753857806229234</v>
      </c>
      <c r="F93" s="26">
        <f t="shared" si="8"/>
        <v>3.5095150793307783</v>
      </c>
      <c r="G93" s="71">
        <f t="shared" si="9"/>
        <v>47.244342726898459</v>
      </c>
    </row>
    <row r="94" spans="1:7" x14ac:dyDescent="0.25">
      <c r="A94" s="62">
        <v>45596</v>
      </c>
      <c r="B94" s="25">
        <v>679.15</v>
      </c>
      <c r="C94" s="26">
        <f t="shared" si="5"/>
        <v>637.86989195699334</v>
      </c>
      <c r="D94" s="26">
        <f t="shared" si="6"/>
        <v>587.06453106404217</v>
      </c>
      <c r="E94" s="26">
        <f t="shared" si="7"/>
        <v>50.805360892951171</v>
      </c>
      <c r="F94" s="26">
        <f t="shared" si="8"/>
        <v>3.12541473195762</v>
      </c>
      <c r="G94" s="71">
        <f t="shared" si="9"/>
        <v>47.679946160993552</v>
      </c>
    </row>
    <row r="95" spans="1:7" x14ac:dyDescent="0.25">
      <c r="A95" s="62">
        <v>45595</v>
      </c>
      <c r="B95" s="25">
        <v>674.35</v>
      </c>
      <c r="C95" s="26">
        <f t="shared" si="5"/>
        <v>637.53428132249735</v>
      </c>
      <c r="D95" s="26">
        <f t="shared" si="6"/>
        <v>586.65147934946538</v>
      </c>
      <c r="E95" s="26">
        <f t="shared" si="7"/>
        <v>50.882801973031974</v>
      </c>
      <c r="F95" s="26">
        <f t="shared" si="8"/>
        <v>2.7377728932503556</v>
      </c>
      <c r="G95" s="71">
        <f t="shared" si="9"/>
        <v>48.145029079781615</v>
      </c>
    </row>
    <row r="96" spans="1:7" x14ac:dyDescent="0.25">
      <c r="A96" s="62">
        <v>45594</v>
      </c>
      <c r="B96" s="25">
        <v>683.3</v>
      </c>
      <c r="C96" s="26">
        <f t="shared" si="5"/>
        <v>637.23496653650136</v>
      </c>
      <c r="D96" s="26">
        <f t="shared" si="6"/>
        <v>586.23779803261141</v>
      </c>
      <c r="E96" s="26">
        <f t="shared" si="7"/>
        <v>50.997168503889952</v>
      </c>
      <c r="F96" s="26">
        <f t="shared" si="8"/>
        <v>2.3463498926017246</v>
      </c>
      <c r="G96" s="71">
        <f t="shared" si="9"/>
        <v>48.65081861128823</v>
      </c>
    </row>
    <row r="97" spans="1:7" x14ac:dyDescent="0.25">
      <c r="A97" s="62">
        <v>45593</v>
      </c>
      <c r="B97" s="25">
        <v>642.9</v>
      </c>
      <c r="C97" s="26">
        <f t="shared" si="5"/>
        <v>636.86045406931839</v>
      </c>
      <c r="D97" s="26">
        <f t="shared" si="6"/>
        <v>585.82318690656348</v>
      </c>
      <c r="E97" s="26">
        <f t="shared" si="7"/>
        <v>51.037267162754915</v>
      </c>
      <c r="F97" s="26">
        <f t="shared" si="8"/>
        <v>1.9508147819408448</v>
      </c>
      <c r="G97" s="71">
        <f t="shared" si="9"/>
        <v>49.086452380814073</v>
      </c>
    </row>
    <row r="98" spans="1:7" x14ac:dyDescent="0.25">
      <c r="A98" s="62">
        <v>45590</v>
      </c>
      <c r="B98" s="25">
        <v>668.9</v>
      </c>
      <c r="C98" s="26">
        <f t="shared" si="5"/>
        <v>636.81135206988199</v>
      </c>
      <c r="D98" s="26">
        <f t="shared" si="6"/>
        <v>585.40824977515899</v>
      </c>
      <c r="E98" s="26">
        <f t="shared" si="7"/>
        <v>51.403102294722999</v>
      </c>
      <c r="F98" s="26">
        <f t="shared" si="8"/>
        <v>1.5517379333163401</v>
      </c>
      <c r="G98" s="71">
        <f t="shared" si="9"/>
        <v>49.851364361406659</v>
      </c>
    </row>
    <row r="99" spans="1:7" x14ac:dyDescent="0.25">
      <c r="A99" s="62">
        <v>45589</v>
      </c>
      <c r="B99" s="25">
        <v>671</v>
      </c>
      <c r="C99" s="26">
        <f t="shared" si="5"/>
        <v>636.550468753377</v>
      </c>
      <c r="D99" s="26">
        <f t="shared" si="6"/>
        <v>584.9903383743889</v>
      </c>
      <c r="E99" s="26">
        <f t="shared" si="7"/>
        <v>51.560130378988106</v>
      </c>
      <c r="F99" s="26">
        <f t="shared" si="8"/>
        <v>1.1464422881016518</v>
      </c>
      <c r="G99" s="71">
        <f t="shared" si="9"/>
        <v>50.413688090886453</v>
      </c>
    </row>
    <row r="100" spans="1:7" x14ac:dyDescent="0.25">
      <c r="A100" s="62">
        <v>45588</v>
      </c>
      <c r="B100" s="25">
        <v>687.75</v>
      </c>
      <c r="C100" s="26">
        <f t="shared" si="5"/>
        <v>636.27039126356703</v>
      </c>
      <c r="D100" s="26">
        <f t="shared" si="6"/>
        <v>584.57115032252716</v>
      </c>
      <c r="E100" s="26">
        <f t="shared" si="7"/>
        <v>51.699240941039875</v>
      </c>
      <c r="F100" s="26">
        <f t="shared" si="8"/>
        <v>0.73657490524891656</v>
      </c>
      <c r="G100" s="71">
        <f t="shared" si="9"/>
        <v>50.96266603579096</v>
      </c>
    </row>
    <row r="101" spans="1:7" x14ac:dyDescent="0.25">
      <c r="A101" s="62">
        <v>45587</v>
      </c>
      <c r="B101" s="25">
        <v>670.25</v>
      </c>
      <c r="C101" s="26">
        <f t="shared" si="5"/>
        <v>635.85185785920578</v>
      </c>
      <c r="D101" s="26">
        <f t="shared" si="6"/>
        <v>584.15083129048617</v>
      </c>
      <c r="E101" s="26">
        <f t="shared" si="7"/>
        <v>51.701026568719612</v>
      </c>
      <c r="F101" s="26">
        <f t="shared" si="8"/>
        <v>0.32224428707175434</v>
      </c>
      <c r="G101" s="71">
        <f t="shared" si="9"/>
        <v>51.378782281647858</v>
      </c>
    </row>
    <row r="102" spans="1:7" x14ac:dyDescent="0.25">
      <c r="A102" s="62">
        <v>45586</v>
      </c>
      <c r="B102" s="25">
        <v>684.55</v>
      </c>
      <c r="C102" s="26">
        <f t="shared" si="5"/>
        <v>635.57219816700422</v>
      </c>
      <c r="D102" s="26">
        <f t="shared" si="6"/>
        <v>583.73049774114702</v>
      </c>
      <c r="E102" s="26">
        <f t="shared" si="7"/>
        <v>51.841700425857198</v>
      </c>
      <c r="F102" s="26">
        <f t="shared" si="8"/>
        <v>-9.5469390014813582E-2</v>
      </c>
      <c r="G102" s="71">
        <f t="shared" si="9"/>
        <v>51.937169815872011</v>
      </c>
    </row>
    <row r="103" spans="1:7" x14ac:dyDescent="0.25">
      <c r="A103" s="62">
        <v>45583</v>
      </c>
      <c r="B103" s="25">
        <v>676.85</v>
      </c>
      <c r="C103" s="26">
        <f t="shared" si="5"/>
        <v>635.17400465616686</v>
      </c>
      <c r="D103" s="26">
        <f t="shared" si="6"/>
        <v>583.30902050191241</v>
      </c>
      <c r="E103" s="26">
        <f t="shared" si="7"/>
        <v>51.864984154254444</v>
      </c>
      <c r="F103" s="26">
        <f t="shared" si="8"/>
        <v>-0.51772280315198438</v>
      </c>
      <c r="G103" s="71">
        <f t="shared" si="9"/>
        <v>52.382706957406427</v>
      </c>
    </row>
    <row r="104" spans="1:7" x14ac:dyDescent="0.25">
      <c r="A104" s="62">
        <v>45582</v>
      </c>
      <c r="B104" s="25">
        <v>676.55</v>
      </c>
      <c r="C104" s="26">
        <f t="shared" si="5"/>
        <v>634.83517542572918</v>
      </c>
      <c r="D104" s="26">
        <f t="shared" si="6"/>
        <v>582.88735396407299</v>
      </c>
      <c r="E104" s="26">
        <f t="shared" si="7"/>
        <v>51.94782146165619</v>
      </c>
      <c r="F104" s="26">
        <f t="shared" si="8"/>
        <v>-0.94359846947236181</v>
      </c>
      <c r="G104" s="71">
        <f t="shared" si="9"/>
        <v>52.891419931128553</v>
      </c>
    </row>
    <row r="105" spans="1:7" x14ac:dyDescent="0.25">
      <c r="A105" s="62">
        <v>45581</v>
      </c>
      <c r="B105" s="25">
        <v>689.3</v>
      </c>
      <c r="C105" s="26">
        <f t="shared" si="5"/>
        <v>634.49603051049121</v>
      </c>
      <c r="D105" s="26">
        <f t="shared" si="6"/>
        <v>582.46501395218957</v>
      </c>
      <c r="E105" s="26">
        <f t="shared" si="7"/>
        <v>52.031016558301644</v>
      </c>
      <c r="F105" s="26">
        <f t="shared" si="8"/>
        <v>-1.3736100136278784</v>
      </c>
      <c r="G105" s="71">
        <f t="shared" si="9"/>
        <v>53.404626571929519</v>
      </c>
    </row>
    <row r="106" spans="1:7" x14ac:dyDescent="0.25">
      <c r="A106" s="62">
        <v>45580</v>
      </c>
      <c r="B106" s="25">
        <v>692.15</v>
      </c>
      <c r="C106" s="26">
        <f t="shared" si="5"/>
        <v>634.05046978293421</v>
      </c>
      <c r="D106" s="26">
        <f t="shared" si="6"/>
        <v>582.0419975574066</v>
      </c>
      <c r="E106" s="26">
        <f t="shared" si="7"/>
        <v>52.008472225527612</v>
      </c>
      <c r="F106" s="26">
        <f t="shared" si="8"/>
        <v>-1.807793969497224</v>
      </c>
      <c r="G106" s="71">
        <f t="shared" si="9"/>
        <v>53.816266195024838</v>
      </c>
    </row>
    <row r="107" spans="1:7" x14ac:dyDescent="0.25">
      <c r="A107" s="62">
        <v>45579</v>
      </c>
      <c r="B107" s="25">
        <v>703.2</v>
      </c>
      <c r="C107" s="26">
        <f t="shared" si="5"/>
        <v>633.57811587873039</v>
      </c>
      <c r="D107" s="26">
        <f t="shared" si="6"/>
        <v>581.61916444988196</v>
      </c>
      <c r="E107" s="26">
        <f t="shared" si="7"/>
        <v>51.958951428848422</v>
      </c>
      <c r="F107" s="26">
        <f t="shared" si="8"/>
        <v>-2.2453245889689706</v>
      </c>
      <c r="G107" s="71">
        <f t="shared" si="9"/>
        <v>54.204276017817392</v>
      </c>
    </row>
    <row r="108" spans="1:7" x14ac:dyDescent="0.25">
      <c r="A108" s="62">
        <v>45576</v>
      </c>
      <c r="B108" s="25">
        <v>706.7</v>
      </c>
      <c r="C108" s="26">
        <f t="shared" si="5"/>
        <v>633.01208430050872</v>
      </c>
      <c r="D108" s="26">
        <f t="shared" si="6"/>
        <v>581.19673395046038</v>
      </c>
      <c r="E108" s="26">
        <f t="shared" si="7"/>
        <v>51.815350350048334</v>
      </c>
      <c r="F108" s="26">
        <f t="shared" si="8"/>
        <v>-2.6860097598455348</v>
      </c>
      <c r="G108" s="71">
        <f t="shared" si="9"/>
        <v>54.501360109893866</v>
      </c>
    </row>
    <row r="109" spans="1:7" x14ac:dyDescent="0.25">
      <c r="A109" s="62">
        <v>45575</v>
      </c>
      <c r="B109" s="25">
        <v>728.85</v>
      </c>
      <c r="C109" s="26">
        <f t="shared" si="5"/>
        <v>632.41299555498438</v>
      </c>
      <c r="D109" s="26">
        <f t="shared" si="6"/>
        <v>580.77547093948442</v>
      </c>
      <c r="E109" s="26">
        <f t="shared" si="7"/>
        <v>51.637524615499956</v>
      </c>
      <c r="F109" s="26">
        <f t="shared" si="8"/>
        <v>-3.1291102485438591</v>
      </c>
      <c r="G109" s="71">
        <f t="shared" si="9"/>
        <v>54.766634864043816</v>
      </c>
    </row>
    <row r="110" spans="1:7" x14ac:dyDescent="0.25">
      <c r="A110" s="62">
        <v>45574</v>
      </c>
      <c r="B110" s="25">
        <v>730.1</v>
      </c>
      <c r="C110" s="26">
        <f t="shared" si="5"/>
        <v>631.62895486843956</v>
      </c>
      <c r="D110" s="26">
        <f t="shared" si="6"/>
        <v>580.35565366618766</v>
      </c>
      <c r="E110" s="26">
        <f t="shared" si="7"/>
        <v>51.273301202251901</v>
      </c>
      <c r="F110" s="26">
        <f t="shared" si="8"/>
        <v>-3.5743674425604754</v>
      </c>
      <c r="G110" s="71">
        <f t="shared" si="9"/>
        <v>54.847668644812373</v>
      </c>
    </row>
    <row r="111" spans="1:7" x14ac:dyDescent="0.25">
      <c r="A111" s="62">
        <v>45573</v>
      </c>
      <c r="B111" s="25">
        <v>722.55</v>
      </c>
      <c r="C111" s="26">
        <f t="shared" si="5"/>
        <v>630.82837726574394</v>
      </c>
      <c r="D111" s="26">
        <f t="shared" si="6"/>
        <v>579.93879755885223</v>
      </c>
      <c r="E111" s="26">
        <f t="shared" si="7"/>
        <v>50.889579706891709</v>
      </c>
      <c r="F111" s="26">
        <f t="shared" si="8"/>
        <v>-4.0202834478028526</v>
      </c>
      <c r="G111" s="71">
        <f t="shared" si="9"/>
        <v>54.909863154694563</v>
      </c>
    </row>
    <row r="112" spans="1:7" x14ac:dyDescent="0.25">
      <c r="A112" s="62">
        <v>45572</v>
      </c>
      <c r="B112" s="25">
        <v>674.2</v>
      </c>
      <c r="C112" s="26">
        <f t="shared" si="5"/>
        <v>630.08267301587193</v>
      </c>
      <c r="D112" s="26">
        <f t="shared" si="6"/>
        <v>579.52506113847096</v>
      </c>
      <c r="E112" s="26">
        <f t="shared" si="7"/>
        <v>50.557611877400973</v>
      </c>
      <c r="F112" s="26">
        <f t="shared" si="8"/>
        <v>-4.4667050994670356</v>
      </c>
      <c r="G112" s="71">
        <f t="shared" si="9"/>
        <v>55.024316976868008</v>
      </c>
    </row>
    <row r="113" spans="1:7" x14ac:dyDescent="0.25">
      <c r="A113" s="62">
        <v>45569</v>
      </c>
      <c r="B113" s="25">
        <v>699.5</v>
      </c>
      <c r="C113" s="26">
        <f t="shared" si="5"/>
        <v>629.72399556071639</v>
      </c>
      <c r="D113" s="26">
        <f t="shared" si="6"/>
        <v>579.11402364353273</v>
      </c>
      <c r="E113" s="26">
        <f t="shared" si="7"/>
        <v>50.609971917183657</v>
      </c>
      <c r="F113" s="26">
        <f t="shared" si="8"/>
        <v>-4.9140572700106784</v>
      </c>
      <c r="G113" s="71">
        <f t="shared" si="9"/>
        <v>55.524029187194337</v>
      </c>
    </row>
    <row r="114" spans="1:7" x14ac:dyDescent="0.25">
      <c r="A114" s="62">
        <v>45568</v>
      </c>
      <c r="B114" s="25">
        <v>708.6</v>
      </c>
      <c r="C114" s="26">
        <f t="shared" si="5"/>
        <v>629.15671097177915</v>
      </c>
      <c r="D114" s="26">
        <f t="shared" si="6"/>
        <v>578.70256045721419</v>
      </c>
      <c r="E114" s="26">
        <f t="shared" si="7"/>
        <v>50.454150514564958</v>
      </c>
      <c r="F114" s="26">
        <f t="shared" si="8"/>
        <v>-5.3654721414512832</v>
      </c>
      <c r="G114" s="71">
        <f t="shared" si="9"/>
        <v>55.819622656016243</v>
      </c>
    </row>
    <row r="115" spans="1:7" x14ac:dyDescent="0.25">
      <c r="A115" s="62">
        <v>45566</v>
      </c>
      <c r="B115" s="25">
        <v>723.45</v>
      </c>
      <c r="C115" s="26">
        <f t="shared" si="5"/>
        <v>628.51083057317578</v>
      </c>
      <c r="D115" s="26">
        <f t="shared" si="6"/>
        <v>578.29236411156728</v>
      </c>
      <c r="E115" s="26">
        <f t="shared" si="7"/>
        <v>50.2184664616085</v>
      </c>
      <c r="F115" s="26">
        <f t="shared" si="8"/>
        <v>-5.8192902118253986</v>
      </c>
      <c r="G115" s="71">
        <f t="shared" si="9"/>
        <v>56.037756673433897</v>
      </c>
    </row>
    <row r="116" spans="1:7" x14ac:dyDescent="0.25">
      <c r="A116" s="62">
        <v>45565</v>
      </c>
      <c r="B116" s="25">
        <v>733.05</v>
      </c>
      <c r="C116" s="26">
        <f t="shared" si="5"/>
        <v>627.73896740710404</v>
      </c>
      <c r="D116" s="26">
        <f t="shared" si="6"/>
        <v>577.88408389643223</v>
      </c>
      <c r="E116" s="26">
        <f t="shared" si="7"/>
        <v>49.854883510671812</v>
      </c>
      <c r="F116" s="26">
        <f t="shared" si="8"/>
        <v>-6.2748817294955925</v>
      </c>
      <c r="G116" s="71">
        <f t="shared" si="9"/>
        <v>56.129765240167401</v>
      </c>
    </row>
    <row r="117" spans="1:7" x14ac:dyDescent="0.25">
      <c r="A117" s="62">
        <v>45562</v>
      </c>
      <c r="B117" s="25">
        <v>740.3</v>
      </c>
      <c r="C117" s="26">
        <f t="shared" si="5"/>
        <v>626.88278015025128</v>
      </c>
      <c r="D117" s="26">
        <f t="shared" si="6"/>
        <v>577.47875964024786</v>
      </c>
      <c r="E117" s="26">
        <f t="shared" si="7"/>
        <v>49.40402051000342</v>
      </c>
      <c r="F117" s="26">
        <f t="shared" si="8"/>
        <v>-6.7312212842937011</v>
      </c>
      <c r="G117" s="71">
        <f t="shared" si="9"/>
        <v>56.135241794297123</v>
      </c>
    </row>
    <row r="118" spans="1:7" x14ac:dyDescent="0.25">
      <c r="A118" s="62">
        <v>45561</v>
      </c>
      <c r="B118" s="25">
        <v>776.4</v>
      </c>
      <c r="C118" s="26">
        <f t="shared" si="5"/>
        <v>625.96068893196059</v>
      </c>
      <c r="D118" s="26">
        <f t="shared" si="6"/>
        <v>577.07710093691446</v>
      </c>
      <c r="E118" s="26">
        <f t="shared" si="7"/>
        <v>48.883587995046128</v>
      </c>
      <c r="F118" s="26">
        <f t="shared" si="8"/>
        <v>-7.1876053639221329</v>
      </c>
      <c r="G118" s="71">
        <f t="shared" si="9"/>
        <v>56.071193358968259</v>
      </c>
    </row>
    <row r="119" spans="1:7" x14ac:dyDescent="0.25">
      <c r="A119" s="62">
        <v>45560</v>
      </c>
      <c r="B119" s="25">
        <v>783.9</v>
      </c>
      <c r="C119" s="26">
        <f t="shared" si="5"/>
        <v>624.73760510213913</v>
      </c>
      <c r="D119" s="26">
        <f t="shared" si="6"/>
        <v>576.67967339223924</v>
      </c>
      <c r="E119" s="26">
        <f t="shared" si="7"/>
        <v>48.05793170989989</v>
      </c>
      <c r="F119" s="26">
        <f t="shared" si="8"/>
        <v>-7.6434687245641513</v>
      </c>
      <c r="G119" s="71">
        <f t="shared" si="9"/>
        <v>55.701400434464041</v>
      </c>
    </row>
    <row r="120" spans="1:7" x14ac:dyDescent="0.25">
      <c r="A120" s="62">
        <v>45559</v>
      </c>
      <c r="B120" s="25">
        <v>789.3</v>
      </c>
      <c r="C120" s="26">
        <f t="shared" si="5"/>
        <v>623.44360189158738</v>
      </c>
      <c r="D120" s="26">
        <f t="shared" si="6"/>
        <v>576.2889585002888</v>
      </c>
      <c r="E120" s="26">
        <f t="shared" si="7"/>
        <v>47.154643391298578</v>
      </c>
      <c r="F120" s="26">
        <f t="shared" si="8"/>
        <v>-8.0963256386654852</v>
      </c>
      <c r="G120" s="71">
        <f t="shared" si="9"/>
        <v>55.250969029964061</v>
      </c>
    </row>
    <row r="121" spans="1:7" x14ac:dyDescent="0.25">
      <c r="A121" s="62">
        <v>45558</v>
      </c>
      <c r="B121" s="25">
        <v>792.05</v>
      </c>
      <c r="C121" s="26">
        <f t="shared" si="5"/>
        <v>622.09517589070595</v>
      </c>
      <c r="D121" s="26">
        <f t="shared" si="6"/>
        <v>575.90558741580674</v>
      </c>
      <c r="E121" s="26">
        <f t="shared" si="7"/>
        <v>46.18958847489921</v>
      </c>
      <c r="F121" s="26">
        <f t="shared" si="8"/>
        <v>-8.5455205088277939</v>
      </c>
      <c r="G121" s="71">
        <f t="shared" si="9"/>
        <v>54.735108983727002</v>
      </c>
    </row>
    <row r="122" spans="1:7" x14ac:dyDescent="0.25">
      <c r="A122" s="62">
        <v>45555</v>
      </c>
      <c r="B122" s="25">
        <v>782.35</v>
      </c>
      <c r="C122" s="26">
        <f t="shared" si="5"/>
        <v>620.71342935323196</v>
      </c>
      <c r="D122" s="26">
        <f t="shared" si="6"/>
        <v>575.53006230625476</v>
      </c>
      <c r="E122" s="26">
        <f t="shared" si="7"/>
        <v>45.183367046977196</v>
      </c>
      <c r="F122" s="26">
        <f t="shared" si="8"/>
        <v>-8.9905213948743548</v>
      </c>
      <c r="G122" s="71">
        <f t="shared" si="9"/>
        <v>54.173888441851552</v>
      </c>
    </row>
    <row r="123" spans="1:7" x14ac:dyDescent="0.25">
      <c r="A123" s="62">
        <v>45554</v>
      </c>
      <c r="B123" s="25">
        <v>742.85</v>
      </c>
      <c r="C123" s="26">
        <f t="shared" si="5"/>
        <v>619.39931089268907</v>
      </c>
      <c r="D123" s="26">
        <f t="shared" si="6"/>
        <v>575.16271785871834</v>
      </c>
      <c r="E123" s="26">
        <f t="shared" si="7"/>
        <v>44.236593033970735</v>
      </c>
      <c r="F123" s="26">
        <f t="shared" si="8"/>
        <v>-9.4309595122877816</v>
      </c>
      <c r="G123" s="71">
        <f t="shared" si="9"/>
        <v>53.66755254625852</v>
      </c>
    </row>
    <row r="124" spans="1:7" x14ac:dyDescent="0.25">
      <c r="A124" s="62">
        <v>45553</v>
      </c>
      <c r="B124" s="25">
        <v>750.75</v>
      </c>
      <c r="C124" s="26">
        <f t="shared" si="5"/>
        <v>618.39564675360521</v>
      </c>
      <c r="D124" s="26">
        <f t="shared" si="6"/>
        <v>574.80307076088116</v>
      </c>
      <c r="E124" s="26">
        <f t="shared" si="7"/>
        <v>43.592575992724051</v>
      </c>
      <c r="F124" s="26">
        <f t="shared" si="8"/>
        <v>-9.8672810777045168</v>
      </c>
      <c r="G124" s="71">
        <f t="shared" si="9"/>
        <v>53.459857070428569</v>
      </c>
    </row>
    <row r="125" spans="1:7" x14ac:dyDescent="0.25">
      <c r="A125" s="62">
        <v>45552</v>
      </c>
      <c r="B125" s="25">
        <v>748.55</v>
      </c>
      <c r="C125" s="26">
        <f t="shared" si="5"/>
        <v>617.31959510119555</v>
      </c>
      <c r="D125" s="26">
        <f t="shared" si="6"/>
        <v>574.44865957394848</v>
      </c>
      <c r="E125" s="26">
        <f t="shared" si="7"/>
        <v>42.87093552724707</v>
      </c>
      <c r="F125" s="26">
        <f t="shared" si="8"/>
        <v>-10.301914062016944</v>
      </c>
      <c r="G125" s="71">
        <f t="shared" si="9"/>
        <v>53.172849589264018</v>
      </c>
    </row>
    <row r="126" spans="1:7" x14ac:dyDescent="0.25">
      <c r="A126" s="62">
        <v>45551</v>
      </c>
      <c r="B126" s="25">
        <v>771.6</v>
      </c>
      <c r="C126" s="26">
        <f t="shared" si="5"/>
        <v>616.25268124022966</v>
      </c>
      <c r="D126" s="26">
        <f t="shared" si="6"/>
        <v>574.10011538267008</v>
      </c>
      <c r="E126" s="26">
        <f t="shared" si="7"/>
        <v>42.15256585755958</v>
      </c>
      <c r="F126" s="26">
        <f t="shared" si="8"/>
        <v>-10.734213652173562</v>
      </c>
      <c r="G126" s="71">
        <f t="shared" si="9"/>
        <v>52.886779509733145</v>
      </c>
    </row>
    <row r="127" spans="1:7" x14ac:dyDescent="0.25">
      <c r="A127" s="62">
        <v>45548</v>
      </c>
      <c r="B127" s="25">
        <v>768.25</v>
      </c>
      <c r="C127" s="26">
        <f t="shared" si="5"/>
        <v>614.9896949088494</v>
      </c>
      <c r="D127" s="26">
        <f t="shared" si="6"/>
        <v>573.75741159521021</v>
      </c>
      <c r="E127" s="26">
        <f t="shared" si="7"/>
        <v>41.232283313639186</v>
      </c>
      <c r="F127" s="26">
        <f t="shared" si="8"/>
        <v>-11.164187469325864</v>
      </c>
      <c r="G127" s="71">
        <f t="shared" si="9"/>
        <v>52.396470782965054</v>
      </c>
    </row>
    <row r="128" spans="1:7" x14ac:dyDescent="0.25">
      <c r="A128" s="62">
        <v>45547</v>
      </c>
      <c r="B128" s="25">
        <v>760.1</v>
      </c>
      <c r="C128" s="26">
        <f t="shared" si="5"/>
        <v>613.74367616827089</v>
      </c>
      <c r="D128" s="26">
        <f t="shared" si="6"/>
        <v>573.42218977965217</v>
      </c>
      <c r="E128" s="26">
        <f t="shared" si="7"/>
        <v>40.321486388618723</v>
      </c>
      <c r="F128" s="26">
        <f t="shared" si="8"/>
        <v>-11.590175036667043</v>
      </c>
      <c r="G128" s="71">
        <f t="shared" si="9"/>
        <v>51.911661425285764</v>
      </c>
    </row>
    <row r="129" spans="1:7" x14ac:dyDescent="0.25">
      <c r="A129" s="62">
        <v>45546</v>
      </c>
      <c r="B129" s="25">
        <v>741.8</v>
      </c>
      <c r="C129" s="26">
        <f t="shared" si="5"/>
        <v>612.55378735663078</v>
      </c>
      <c r="D129" s="26">
        <f t="shared" si="6"/>
        <v>573.09437281714304</v>
      </c>
      <c r="E129" s="26">
        <f t="shared" si="7"/>
        <v>39.459414539487739</v>
      </c>
      <c r="F129" s="26">
        <f t="shared" si="8"/>
        <v>-12.012221064514895</v>
      </c>
      <c r="G129" s="71">
        <f t="shared" si="9"/>
        <v>51.471635604002635</v>
      </c>
    </row>
    <row r="130" spans="1:7" x14ac:dyDescent="0.25">
      <c r="A130" s="62">
        <v>45545</v>
      </c>
      <c r="B130" s="25">
        <v>744.2</v>
      </c>
      <c r="C130" s="26">
        <f t="shared" ref="C130:C193" si="10">((B130-C131)*$O$9)+C131</f>
        <v>611.50300514001799</v>
      </c>
      <c r="D130" s="26">
        <f t="shared" ref="D130:D193" si="11">((C130-D131)*$O$9)+D131</f>
        <v>572.77356456885457</v>
      </c>
      <c r="E130" s="26">
        <f t="shared" ref="E130:E193" si="12">C130-D130</f>
        <v>38.729440571163423</v>
      </c>
      <c r="F130" s="26">
        <f t="shared" ref="F130:F193" si="13">((E130-F131)*$O$9+F131)</f>
        <v>-12.430689646661257</v>
      </c>
      <c r="G130" s="71">
        <f t="shared" ref="G130:G193" si="14">E130-F130</f>
        <v>51.16013021782468</v>
      </c>
    </row>
    <row r="131" spans="1:7" x14ac:dyDescent="0.25">
      <c r="A131" s="62">
        <v>45544</v>
      </c>
      <c r="B131" s="25">
        <v>730.75</v>
      </c>
      <c r="C131" s="26">
        <f t="shared" si="10"/>
        <v>610.42416778343272</v>
      </c>
      <c r="D131" s="26">
        <f t="shared" si="11"/>
        <v>572.45869106827604</v>
      </c>
      <c r="E131" s="26">
        <f t="shared" si="12"/>
        <v>37.965476715156683</v>
      </c>
      <c r="F131" s="26">
        <f t="shared" si="13"/>
        <v>-12.846625664692352</v>
      </c>
      <c r="G131" s="71">
        <f t="shared" si="14"/>
        <v>50.812102379849037</v>
      </c>
    </row>
    <row r="132" spans="1:7" x14ac:dyDescent="0.25">
      <c r="A132" s="62">
        <v>45541</v>
      </c>
      <c r="B132" s="25">
        <v>709.55</v>
      </c>
      <c r="C132" s="26">
        <f t="shared" si="10"/>
        <v>609.44590898492402</v>
      </c>
      <c r="D132" s="26">
        <f t="shared" si="11"/>
        <v>572.15002865595773</v>
      </c>
      <c r="E132" s="26">
        <f t="shared" si="12"/>
        <v>37.295880328966291</v>
      </c>
      <c r="F132" s="26">
        <f t="shared" si="13"/>
        <v>-13.259732188105758</v>
      </c>
      <c r="G132" s="71">
        <f t="shared" si="14"/>
        <v>50.555612517072049</v>
      </c>
    </row>
    <row r="133" spans="1:7" x14ac:dyDescent="0.25">
      <c r="A133" s="62">
        <v>45540</v>
      </c>
      <c r="B133" s="25">
        <v>714.45</v>
      </c>
      <c r="C133" s="26">
        <f t="shared" si="10"/>
        <v>608.63205458642744</v>
      </c>
      <c r="D133" s="26">
        <f t="shared" si="11"/>
        <v>571.84681011669784</v>
      </c>
      <c r="E133" s="26">
        <f t="shared" si="12"/>
        <v>36.785244469729605</v>
      </c>
      <c r="F133" s="26">
        <f t="shared" si="13"/>
        <v>-13.670753428081953</v>
      </c>
      <c r="G133" s="71">
        <f t="shared" si="14"/>
        <v>50.455997897811557</v>
      </c>
    </row>
    <row r="134" spans="1:7" x14ac:dyDescent="0.25">
      <c r="A134" s="62">
        <v>45539</v>
      </c>
      <c r="B134" s="25">
        <v>698.5</v>
      </c>
      <c r="C134" s="26">
        <f t="shared" si="10"/>
        <v>607.77174608713005</v>
      </c>
      <c r="D134" s="26">
        <f t="shared" si="11"/>
        <v>571.54774308848869</v>
      </c>
      <c r="E134" s="26">
        <f t="shared" si="12"/>
        <v>36.224002998641367</v>
      </c>
      <c r="F134" s="26">
        <f t="shared" si="13"/>
        <v>-14.080964793104812</v>
      </c>
      <c r="G134" s="71">
        <f t="shared" si="14"/>
        <v>50.304967791746179</v>
      </c>
    </row>
    <row r="135" spans="1:7" x14ac:dyDescent="0.25">
      <c r="A135" s="62">
        <v>45538</v>
      </c>
      <c r="B135" s="25">
        <v>692.7</v>
      </c>
      <c r="C135" s="26">
        <f t="shared" si="10"/>
        <v>607.0341180065376</v>
      </c>
      <c r="D135" s="26">
        <f t="shared" si="11"/>
        <v>571.2532389990688</v>
      </c>
      <c r="E135" s="26">
        <f t="shared" si="12"/>
        <v>35.780879007468798</v>
      </c>
      <c r="F135" s="26">
        <f t="shared" si="13"/>
        <v>-14.489948271086488</v>
      </c>
      <c r="G135" s="71">
        <f t="shared" si="14"/>
        <v>50.270827278555288</v>
      </c>
    </row>
    <row r="136" spans="1:7" x14ac:dyDescent="0.25">
      <c r="A136" s="62">
        <v>45537</v>
      </c>
      <c r="B136" s="25">
        <v>705.8</v>
      </c>
      <c r="C136" s="26">
        <f t="shared" si="10"/>
        <v>606.33764742122491</v>
      </c>
      <c r="D136" s="26">
        <f t="shared" si="11"/>
        <v>570.96233754372349</v>
      </c>
      <c r="E136" s="26">
        <f t="shared" si="12"/>
        <v>35.375309877501422</v>
      </c>
      <c r="F136" s="26">
        <f t="shared" si="13"/>
        <v>-14.898654183920272</v>
      </c>
      <c r="G136" s="71">
        <f t="shared" si="14"/>
        <v>50.273964061421694</v>
      </c>
    </row>
    <row r="137" spans="1:7" x14ac:dyDescent="0.25">
      <c r="A137" s="62">
        <v>45534</v>
      </c>
      <c r="B137" s="25">
        <v>711.15</v>
      </c>
      <c r="C137" s="26">
        <f t="shared" si="10"/>
        <v>605.52901040838935</v>
      </c>
      <c r="D137" s="26">
        <f t="shared" si="11"/>
        <v>570.67473339837795</v>
      </c>
      <c r="E137" s="26">
        <f t="shared" si="12"/>
        <v>34.854277010011401</v>
      </c>
      <c r="F137" s="26">
        <f t="shared" si="13"/>
        <v>-15.307385599053781</v>
      </c>
      <c r="G137" s="71">
        <f t="shared" si="14"/>
        <v>50.161662609065182</v>
      </c>
    </row>
    <row r="138" spans="1:7" x14ac:dyDescent="0.25">
      <c r="A138" s="62">
        <v>45533</v>
      </c>
      <c r="B138" s="25">
        <v>720.05</v>
      </c>
      <c r="C138" s="26">
        <f t="shared" si="10"/>
        <v>604.67030317593719</v>
      </c>
      <c r="D138" s="26">
        <f t="shared" si="11"/>
        <v>570.39136529260554</v>
      </c>
      <c r="E138" s="26">
        <f t="shared" si="12"/>
        <v>34.27893788333165</v>
      </c>
      <c r="F138" s="26">
        <f t="shared" si="13"/>
        <v>-15.715203994249432</v>
      </c>
      <c r="G138" s="71">
        <f t="shared" si="14"/>
        <v>49.994141877581086</v>
      </c>
    </row>
    <row r="139" spans="1:7" x14ac:dyDescent="0.25">
      <c r="A139" s="62">
        <v>45532</v>
      </c>
      <c r="B139" s="25">
        <v>736.6</v>
      </c>
      <c r="C139" s="26">
        <f t="shared" si="10"/>
        <v>603.73225686029446</v>
      </c>
      <c r="D139" s="26">
        <f t="shared" si="11"/>
        <v>570.11267474070848</v>
      </c>
      <c r="E139" s="26">
        <f t="shared" si="12"/>
        <v>33.619582119585971</v>
      </c>
      <c r="F139" s="26">
        <f t="shared" si="13"/>
        <v>-16.121660432278546</v>
      </c>
      <c r="G139" s="71">
        <f t="shared" si="14"/>
        <v>49.741242551864516</v>
      </c>
    </row>
    <row r="140" spans="1:7" x14ac:dyDescent="0.25">
      <c r="A140" s="62">
        <v>45531</v>
      </c>
      <c r="B140" s="25">
        <v>733.1</v>
      </c>
      <c r="C140" s="26">
        <f t="shared" si="10"/>
        <v>602.65203130631312</v>
      </c>
      <c r="D140" s="26">
        <f t="shared" si="11"/>
        <v>569.83934480477694</v>
      </c>
      <c r="E140" s="26">
        <f t="shared" si="12"/>
        <v>32.812686501536177</v>
      </c>
      <c r="F140" s="26">
        <f t="shared" si="13"/>
        <v>-16.526060778228665</v>
      </c>
      <c r="G140" s="71">
        <f t="shared" si="14"/>
        <v>49.338747279764846</v>
      </c>
    </row>
    <row r="141" spans="1:7" x14ac:dyDescent="0.25">
      <c r="A141" s="62">
        <v>45530</v>
      </c>
      <c r="B141" s="25">
        <v>715.55</v>
      </c>
      <c r="C141" s="26">
        <f t="shared" si="10"/>
        <v>601.59147871530752</v>
      </c>
      <c r="D141" s="26">
        <f t="shared" si="11"/>
        <v>569.57257499582136</v>
      </c>
      <c r="E141" s="26">
        <f t="shared" si="12"/>
        <v>32.018903719486161</v>
      </c>
      <c r="F141" s="26">
        <f t="shared" si="13"/>
        <v>-16.927188804893419</v>
      </c>
      <c r="G141" s="71">
        <f t="shared" si="14"/>
        <v>48.94609252437958</v>
      </c>
    </row>
    <row r="142" spans="1:7" x14ac:dyDescent="0.25">
      <c r="A142" s="62">
        <v>45527</v>
      </c>
      <c r="B142" s="25">
        <v>703.85</v>
      </c>
      <c r="C142" s="26">
        <f t="shared" si="10"/>
        <v>600.66498667234259</v>
      </c>
      <c r="D142" s="26">
        <f t="shared" si="11"/>
        <v>569.31225870541903</v>
      </c>
      <c r="E142" s="26">
        <f t="shared" si="12"/>
        <v>31.352727966923567</v>
      </c>
      <c r="F142" s="26">
        <f t="shared" si="13"/>
        <v>-17.325124516473739</v>
      </c>
      <c r="G142" s="71">
        <f t="shared" si="14"/>
        <v>48.677852483397302</v>
      </c>
    </row>
    <row r="143" spans="1:7" x14ac:dyDescent="0.25">
      <c r="A143" s="62">
        <v>45526</v>
      </c>
      <c r="B143" s="25">
        <v>710.7</v>
      </c>
      <c r="C143" s="26">
        <f t="shared" si="10"/>
        <v>599.82608412496324</v>
      </c>
      <c r="D143" s="26">
        <f t="shared" si="11"/>
        <v>569.05735847804567</v>
      </c>
      <c r="E143" s="26">
        <f t="shared" si="12"/>
        <v>30.768725646917574</v>
      </c>
      <c r="F143" s="26">
        <f t="shared" si="13"/>
        <v>-17.720879414712741</v>
      </c>
      <c r="G143" s="71">
        <f t="shared" si="14"/>
        <v>48.489605061630314</v>
      </c>
    </row>
    <row r="144" spans="1:7" x14ac:dyDescent="0.25">
      <c r="A144" s="62">
        <v>45525</v>
      </c>
      <c r="B144" s="25">
        <v>719.9</v>
      </c>
      <c r="C144" s="26">
        <f t="shared" si="10"/>
        <v>598.92467017475974</v>
      </c>
      <c r="D144" s="26">
        <f t="shared" si="11"/>
        <v>568.80720623701382</v>
      </c>
      <c r="E144" s="26">
        <f t="shared" si="12"/>
        <v>30.117463937745924</v>
      </c>
      <c r="F144" s="26">
        <f t="shared" si="13"/>
        <v>-18.115103846108109</v>
      </c>
      <c r="G144" s="71">
        <f t="shared" si="14"/>
        <v>48.232567783854037</v>
      </c>
    </row>
    <row r="145" spans="1:7" x14ac:dyDescent="0.25">
      <c r="A145" s="62">
        <v>45524</v>
      </c>
      <c r="B145" s="25">
        <v>709.9</v>
      </c>
      <c r="C145" s="26">
        <f t="shared" si="10"/>
        <v>597.9411309078879</v>
      </c>
      <c r="D145" s="26">
        <f t="shared" si="11"/>
        <v>568.56234880662566</v>
      </c>
      <c r="E145" s="26">
        <f t="shared" si="12"/>
        <v>29.378782101262232</v>
      </c>
      <c r="F145" s="26">
        <f t="shared" si="13"/>
        <v>-18.507238543537817</v>
      </c>
      <c r="G145" s="71">
        <f t="shared" si="14"/>
        <v>47.886020644800048</v>
      </c>
    </row>
    <row r="146" spans="1:7" x14ac:dyDescent="0.25">
      <c r="A146" s="62">
        <v>45523</v>
      </c>
      <c r="B146" s="25">
        <v>668.55</v>
      </c>
      <c r="C146" s="26">
        <f t="shared" si="10"/>
        <v>597.030896199822</v>
      </c>
      <c r="D146" s="26">
        <f t="shared" si="11"/>
        <v>568.32349691962349</v>
      </c>
      <c r="E146" s="26">
        <f t="shared" si="12"/>
        <v>28.707399280198501</v>
      </c>
      <c r="F146" s="26">
        <f t="shared" si="13"/>
        <v>-18.896555784552451</v>
      </c>
      <c r="G146" s="71">
        <f t="shared" si="14"/>
        <v>47.603955064750949</v>
      </c>
    </row>
    <row r="147" spans="1:7" x14ac:dyDescent="0.25">
      <c r="A147" s="62">
        <v>45520</v>
      </c>
      <c r="B147" s="25">
        <v>665.05</v>
      </c>
      <c r="C147" s="26">
        <f t="shared" si="10"/>
        <v>596.4494400713653</v>
      </c>
      <c r="D147" s="26">
        <f t="shared" si="11"/>
        <v>568.09010342954059</v>
      </c>
      <c r="E147" s="26">
        <f t="shared" si="12"/>
        <v>28.359336641824711</v>
      </c>
      <c r="F147" s="26">
        <f t="shared" si="13"/>
        <v>-19.283579809469124</v>
      </c>
      <c r="G147" s="71">
        <f t="shared" si="14"/>
        <v>47.642916451293836</v>
      </c>
    </row>
    <row r="148" spans="1:7" x14ac:dyDescent="0.25">
      <c r="A148" s="62">
        <v>45518</v>
      </c>
      <c r="B148" s="25">
        <v>645.95000000000005</v>
      </c>
      <c r="C148" s="26">
        <f t="shared" si="10"/>
        <v>595.89171194186417</v>
      </c>
      <c r="D148" s="26">
        <f t="shared" si="11"/>
        <v>567.85953971700542</v>
      </c>
      <c r="E148" s="26">
        <f t="shared" si="12"/>
        <v>28.032172224858755</v>
      </c>
      <c r="F148" s="26">
        <f t="shared" si="13"/>
        <v>-19.670920593625986</v>
      </c>
      <c r="G148" s="71">
        <f t="shared" si="14"/>
        <v>47.703092818484741</v>
      </c>
    </row>
    <row r="149" spans="1:7" x14ac:dyDescent="0.25">
      <c r="A149" s="62">
        <v>45517</v>
      </c>
      <c r="B149" s="25">
        <v>672.55</v>
      </c>
      <c r="C149" s="26">
        <f t="shared" si="10"/>
        <v>595.484733990172</v>
      </c>
      <c r="D149" s="26">
        <f t="shared" si="11"/>
        <v>567.63163587777888</v>
      </c>
      <c r="E149" s="26">
        <f t="shared" si="12"/>
        <v>27.853098112393127</v>
      </c>
      <c r="F149" s="26">
        <f t="shared" si="13"/>
        <v>-20.058750616540497</v>
      </c>
      <c r="G149" s="71">
        <f t="shared" si="14"/>
        <v>47.91184872893362</v>
      </c>
    </row>
    <row r="150" spans="1:7" x14ac:dyDescent="0.25">
      <c r="A150" s="62">
        <v>45516</v>
      </c>
      <c r="B150" s="25">
        <v>689.1</v>
      </c>
      <c r="C150" s="26">
        <f t="shared" si="10"/>
        <v>594.85818711204331</v>
      </c>
      <c r="D150" s="26">
        <f t="shared" si="11"/>
        <v>567.40518792564558</v>
      </c>
      <c r="E150" s="26">
        <f t="shared" si="12"/>
        <v>27.452999186397733</v>
      </c>
      <c r="F150" s="26">
        <f t="shared" si="13"/>
        <v>-20.448277841978982</v>
      </c>
      <c r="G150" s="71">
        <f t="shared" si="14"/>
        <v>47.901277028376711</v>
      </c>
    </row>
    <row r="151" spans="1:7" x14ac:dyDescent="0.25">
      <c r="A151" s="62">
        <v>45513</v>
      </c>
      <c r="B151" s="25">
        <v>703</v>
      </c>
      <c r="C151" s="26">
        <f t="shared" si="10"/>
        <v>594.09199351132827</v>
      </c>
      <c r="D151" s="26">
        <f t="shared" si="11"/>
        <v>567.181992810309</v>
      </c>
      <c r="E151" s="26">
        <f t="shared" si="12"/>
        <v>26.910000701019271</v>
      </c>
      <c r="F151" s="26">
        <f t="shared" si="13"/>
        <v>-20.83771911863245</v>
      </c>
      <c r="G151" s="71">
        <f t="shared" si="14"/>
        <v>47.747719819651721</v>
      </c>
    </row>
    <row r="152" spans="1:7" x14ac:dyDescent="0.25">
      <c r="A152" s="62">
        <v>45512</v>
      </c>
      <c r="B152" s="25">
        <v>699.45</v>
      </c>
      <c r="C152" s="26">
        <f t="shared" si="10"/>
        <v>593.20656256426594</v>
      </c>
      <c r="D152" s="26">
        <f t="shared" si="11"/>
        <v>566.96321231680474</v>
      </c>
      <c r="E152" s="26">
        <f t="shared" si="12"/>
        <v>26.243350247461194</v>
      </c>
      <c r="F152" s="26">
        <f t="shared" si="13"/>
        <v>-21.22591196269466</v>
      </c>
      <c r="G152" s="71">
        <f t="shared" si="14"/>
        <v>47.469262210155854</v>
      </c>
    </row>
    <row r="153" spans="1:7" x14ac:dyDescent="0.25">
      <c r="A153" s="62">
        <v>45511</v>
      </c>
      <c r="B153" s="25">
        <v>690</v>
      </c>
      <c r="C153" s="26">
        <f t="shared" si="10"/>
        <v>592.34279478023552</v>
      </c>
      <c r="D153" s="26">
        <f t="shared" si="11"/>
        <v>566.74985174568712</v>
      </c>
      <c r="E153" s="26">
        <f t="shared" si="12"/>
        <v>25.592943034548398</v>
      </c>
      <c r="F153" s="26">
        <f t="shared" si="13"/>
        <v>-21.611840923752837</v>
      </c>
      <c r="G153" s="71">
        <f t="shared" si="14"/>
        <v>47.204783958301235</v>
      </c>
    </row>
    <row r="154" spans="1:7" x14ac:dyDescent="0.25">
      <c r="A154" s="62">
        <v>45510</v>
      </c>
      <c r="B154" s="25">
        <v>683.4</v>
      </c>
      <c r="C154" s="26">
        <f t="shared" si="10"/>
        <v>591.54883376218868</v>
      </c>
      <c r="D154" s="26">
        <f t="shared" si="11"/>
        <v>566.5417790380892</v>
      </c>
      <c r="E154" s="26">
        <f t="shared" si="12"/>
        <v>25.007054724099476</v>
      </c>
      <c r="F154" s="26">
        <f t="shared" si="13"/>
        <v>-21.995619655121139</v>
      </c>
      <c r="G154" s="71">
        <f t="shared" si="14"/>
        <v>47.002674379220615</v>
      </c>
    </row>
    <row r="155" spans="1:7" x14ac:dyDescent="0.25">
      <c r="A155" s="62">
        <v>45509</v>
      </c>
      <c r="B155" s="25">
        <v>684.45</v>
      </c>
      <c r="C155" s="26">
        <f t="shared" si="10"/>
        <v>590.80207631310077</v>
      </c>
      <c r="D155" s="26">
        <f t="shared" si="11"/>
        <v>566.33846965008843</v>
      </c>
      <c r="E155" s="26">
        <f t="shared" si="12"/>
        <v>24.463606663012342</v>
      </c>
      <c r="F155" s="26">
        <f t="shared" si="13"/>
        <v>-22.377755219179843</v>
      </c>
      <c r="G155" s="71">
        <f t="shared" si="14"/>
        <v>46.841361882192189</v>
      </c>
    </row>
    <row r="156" spans="1:7" x14ac:dyDescent="0.25">
      <c r="A156" s="62">
        <v>45506</v>
      </c>
      <c r="B156" s="25">
        <v>722.05</v>
      </c>
      <c r="C156" s="26">
        <f t="shared" si="10"/>
        <v>590.04071107987397</v>
      </c>
      <c r="D156" s="26">
        <f t="shared" si="11"/>
        <v>566.13957853900706</v>
      </c>
      <c r="E156" s="26">
        <f t="shared" si="12"/>
        <v>23.901132540866911</v>
      </c>
      <c r="F156" s="26">
        <f t="shared" si="13"/>
        <v>-22.758579299522868</v>
      </c>
      <c r="G156" s="71">
        <f t="shared" si="14"/>
        <v>46.659711840389775</v>
      </c>
    </row>
    <row r="157" spans="1:7" x14ac:dyDescent="0.25">
      <c r="A157" s="62">
        <v>45505</v>
      </c>
      <c r="B157" s="25">
        <v>727.65</v>
      </c>
      <c r="C157" s="26">
        <f t="shared" si="10"/>
        <v>588.96746482849085</v>
      </c>
      <c r="D157" s="26">
        <f t="shared" si="11"/>
        <v>565.94526038826825</v>
      </c>
      <c r="E157" s="26">
        <f t="shared" si="12"/>
        <v>23.022204440222595</v>
      </c>
      <c r="F157" s="26">
        <f t="shared" si="13"/>
        <v>-23.137926550257745</v>
      </c>
      <c r="G157" s="71">
        <f t="shared" si="14"/>
        <v>46.16013099048034</v>
      </c>
    </row>
    <row r="158" spans="1:7" x14ac:dyDescent="0.25">
      <c r="A158" s="62">
        <v>45504</v>
      </c>
      <c r="B158" s="25">
        <v>728</v>
      </c>
      <c r="C158" s="26">
        <f t="shared" si="10"/>
        <v>587.83996454254361</v>
      </c>
      <c r="D158" s="26">
        <f t="shared" si="11"/>
        <v>565.7580879944453</v>
      </c>
      <c r="E158" s="26">
        <f t="shared" si="12"/>
        <v>22.081876548098307</v>
      </c>
      <c r="F158" s="26">
        <f t="shared" si="13"/>
        <v>-23.513212168066527</v>
      </c>
      <c r="G158" s="71">
        <f t="shared" si="14"/>
        <v>45.595088716164838</v>
      </c>
    </row>
    <row r="159" spans="1:7" x14ac:dyDescent="0.25">
      <c r="A159" s="62">
        <v>45503</v>
      </c>
      <c r="B159" s="25">
        <v>715.25</v>
      </c>
      <c r="C159" s="26">
        <f t="shared" si="10"/>
        <v>586.70045205914971</v>
      </c>
      <c r="D159" s="26">
        <f t="shared" si="11"/>
        <v>565.57856054283479</v>
      </c>
      <c r="E159" s="26">
        <f t="shared" si="12"/>
        <v>21.121891516314918</v>
      </c>
      <c r="F159" s="26">
        <f t="shared" si="13"/>
        <v>-23.883903946246729</v>
      </c>
      <c r="G159" s="71">
        <f t="shared" si="14"/>
        <v>45.00579546256165</v>
      </c>
    </row>
    <row r="160" spans="1:7" x14ac:dyDescent="0.25">
      <c r="A160" s="62">
        <v>45502</v>
      </c>
      <c r="B160" s="25">
        <v>692.25</v>
      </c>
      <c r="C160" s="26">
        <f t="shared" si="10"/>
        <v>585.65533378320788</v>
      </c>
      <c r="D160" s="26">
        <f t="shared" si="11"/>
        <v>565.40683784758016</v>
      </c>
      <c r="E160" s="26">
        <f t="shared" si="12"/>
        <v>20.248495935627716</v>
      </c>
      <c r="F160" s="26">
        <f t="shared" si="13"/>
        <v>-24.249804722365116</v>
      </c>
      <c r="G160" s="71">
        <f t="shared" si="14"/>
        <v>44.498300657992829</v>
      </c>
    </row>
    <row r="161" spans="1:7" x14ac:dyDescent="0.25">
      <c r="A161" s="62">
        <v>45499</v>
      </c>
      <c r="B161" s="25">
        <v>693.55</v>
      </c>
      <c r="C161" s="26">
        <f t="shared" si="10"/>
        <v>584.78871048063229</v>
      </c>
      <c r="D161" s="26">
        <f t="shared" si="11"/>
        <v>565.24221592940432</v>
      </c>
      <c r="E161" s="26">
        <f t="shared" si="12"/>
        <v>19.546494551227966</v>
      </c>
      <c r="F161" s="26">
        <f t="shared" si="13"/>
        <v>-24.61157952446262</v>
      </c>
      <c r="G161" s="71">
        <f t="shared" si="14"/>
        <v>44.158074075690585</v>
      </c>
    </row>
    <row r="162" spans="1:7" x14ac:dyDescent="0.25">
      <c r="A162" s="62">
        <v>45498</v>
      </c>
      <c r="B162" s="25">
        <v>668.15</v>
      </c>
      <c r="C162" s="26">
        <f t="shared" si="10"/>
        <v>583.90447235445856</v>
      </c>
      <c r="D162" s="26">
        <f t="shared" si="11"/>
        <v>565.0833013395569</v>
      </c>
      <c r="E162" s="26">
        <f t="shared" si="12"/>
        <v>18.821171014901665</v>
      </c>
      <c r="F162" s="26">
        <f t="shared" si="13"/>
        <v>-24.970588256785309</v>
      </c>
      <c r="G162" s="71">
        <f t="shared" si="14"/>
        <v>43.791759271686971</v>
      </c>
    </row>
    <row r="163" spans="1:7" x14ac:dyDescent="0.25">
      <c r="A163" s="62">
        <v>45497</v>
      </c>
      <c r="B163" s="25">
        <v>682.35</v>
      </c>
      <c r="C163" s="26">
        <f t="shared" si="10"/>
        <v>583.21954936547047</v>
      </c>
      <c r="D163" s="26">
        <f t="shared" si="11"/>
        <v>564.93028368902924</v>
      </c>
      <c r="E163" s="26">
        <f t="shared" si="12"/>
        <v>18.289265676441232</v>
      </c>
      <c r="F163" s="26">
        <f t="shared" si="13"/>
        <v>-25.326618819969756</v>
      </c>
      <c r="G163" s="71">
        <f t="shared" si="14"/>
        <v>43.615884496410985</v>
      </c>
    </row>
    <row r="164" spans="1:7" x14ac:dyDescent="0.25">
      <c r="A164" s="62">
        <v>45496</v>
      </c>
      <c r="B164" s="25">
        <v>697.1</v>
      </c>
      <c r="C164" s="26">
        <f t="shared" si="10"/>
        <v>582.41361074242548</v>
      </c>
      <c r="D164" s="26">
        <f t="shared" si="11"/>
        <v>564.78159047214763</v>
      </c>
      <c r="E164" s="26">
        <f t="shared" si="12"/>
        <v>17.632020270277849</v>
      </c>
      <c r="F164" s="26">
        <f t="shared" si="13"/>
        <v>-25.681219506932447</v>
      </c>
      <c r="G164" s="71">
        <f t="shared" si="14"/>
        <v>43.313239777210299</v>
      </c>
    </row>
    <row r="165" spans="1:7" x14ac:dyDescent="0.25">
      <c r="A165" s="62">
        <v>45495</v>
      </c>
      <c r="B165" s="25">
        <v>709.8</v>
      </c>
      <c r="C165" s="26">
        <f t="shared" si="10"/>
        <v>581.48120107366469</v>
      </c>
      <c r="D165" s="26">
        <f t="shared" si="11"/>
        <v>564.63824071385272</v>
      </c>
      <c r="E165" s="26">
        <f t="shared" si="12"/>
        <v>16.842960359811968</v>
      </c>
      <c r="F165" s="26">
        <f t="shared" si="13"/>
        <v>-26.033359667722774</v>
      </c>
      <c r="G165" s="71">
        <f t="shared" si="14"/>
        <v>42.876320027534746</v>
      </c>
    </row>
    <row r="166" spans="1:7" x14ac:dyDescent="0.25">
      <c r="A166" s="62">
        <v>45492</v>
      </c>
      <c r="B166" s="25">
        <v>705</v>
      </c>
      <c r="C166" s="26">
        <f t="shared" si="10"/>
        <v>580.43795880597088</v>
      </c>
      <c r="D166" s="26">
        <f t="shared" si="11"/>
        <v>564.50130607678113</v>
      </c>
      <c r="E166" s="26">
        <f t="shared" si="12"/>
        <v>15.936652729189746</v>
      </c>
      <c r="F166" s="26">
        <f t="shared" si="13"/>
        <v>-26.381947635426307</v>
      </c>
      <c r="G166" s="71">
        <f t="shared" si="14"/>
        <v>42.318600364616053</v>
      </c>
    </row>
    <row r="167" spans="1:7" x14ac:dyDescent="0.25">
      <c r="A167" s="62">
        <v>45491</v>
      </c>
      <c r="B167" s="25">
        <v>712.75</v>
      </c>
      <c r="C167" s="26">
        <f t="shared" si="10"/>
        <v>579.42525928406815</v>
      </c>
      <c r="D167" s="26">
        <f t="shared" si="11"/>
        <v>564.37173979443003</v>
      </c>
      <c r="E167" s="26">
        <f t="shared" si="12"/>
        <v>15.05351948963812</v>
      </c>
      <c r="F167" s="26">
        <f t="shared" si="13"/>
        <v>-26.726001296927251</v>
      </c>
      <c r="G167" s="71">
        <f t="shared" si="14"/>
        <v>41.779520786565371</v>
      </c>
    </row>
    <row r="168" spans="1:7" x14ac:dyDescent="0.25">
      <c r="A168" s="62">
        <v>45489</v>
      </c>
      <c r="B168" s="25">
        <v>708.35</v>
      </c>
      <c r="C168" s="26">
        <f t="shared" si="10"/>
        <v>578.34131830263777</v>
      </c>
      <c r="D168" s="26">
        <f t="shared" si="11"/>
        <v>564.24935345711594</v>
      </c>
      <c r="E168" s="26">
        <f t="shared" si="12"/>
        <v>14.091964845521829</v>
      </c>
      <c r="F168" s="26">
        <f t="shared" si="13"/>
        <v>-27.065672197631034</v>
      </c>
      <c r="G168" s="71">
        <f t="shared" si="14"/>
        <v>41.15763704315286</v>
      </c>
    </row>
    <row r="169" spans="1:7" x14ac:dyDescent="0.25">
      <c r="A169" s="62">
        <v>45488</v>
      </c>
      <c r="B169" s="25">
        <v>720.45</v>
      </c>
      <c r="C169" s="26">
        <f t="shared" si="10"/>
        <v>577.2843371506267</v>
      </c>
      <c r="D169" s="26">
        <f t="shared" si="11"/>
        <v>564.13478463723368</v>
      </c>
      <c r="E169" s="26">
        <f t="shared" si="12"/>
        <v>13.149552513393019</v>
      </c>
      <c r="F169" s="26">
        <f t="shared" si="13"/>
        <v>-27.400287132941219</v>
      </c>
      <c r="G169" s="71">
        <f t="shared" si="14"/>
        <v>40.549839646334235</v>
      </c>
    </row>
    <row r="170" spans="1:7" x14ac:dyDescent="0.25">
      <c r="A170" s="62">
        <v>45485</v>
      </c>
      <c r="B170" s="25">
        <v>713.15</v>
      </c>
      <c r="C170" s="26">
        <f t="shared" si="10"/>
        <v>576.12038867217655</v>
      </c>
      <c r="D170" s="26">
        <f t="shared" si="11"/>
        <v>564.02787770623047</v>
      </c>
      <c r="E170" s="26">
        <f t="shared" si="12"/>
        <v>12.092510965946076</v>
      </c>
      <c r="F170" s="26">
        <f t="shared" si="13"/>
        <v>-27.729960626000846</v>
      </c>
      <c r="G170" s="71">
        <f t="shared" si="14"/>
        <v>39.822471591946922</v>
      </c>
    </row>
    <row r="171" spans="1:7" x14ac:dyDescent="0.25">
      <c r="A171" s="62">
        <v>45484</v>
      </c>
      <c r="B171" s="25">
        <v>713</v>
      </c>
      <c r="C171" s="26">
        <f t="shared" si="10"/>
        <v>575.00632679146258</v>
      </c>
      <c r="D171" s="26">
        <f t="shared" si="11"/>
        <v>563.92956460894641</v>
      </c>
      <c r="E171" s="26">
        <f t="shared" si="12"/>
        <v>11.076762182516177</v>
      </c>
      <c r="F171" s="26">
        <f t="shared" si="13"/>
        <v>-28.053720557642691</v>
      </c>
      <c r="G171" s="71">
        <f t="shared" si="14"/>
        <v>39.130482740158868</v>
      </c>
    </row>
    <row r="172" spans="1:7" x14ac:dyDescent="0.25">
      <c r="A172" s="62">
        <v>45483</v>
      </c>
      <c r="B172" s="25">
        <v>724.4</v>
      </c>
      <c r="C172" s="26">
        <f t="shared" si="10"/>
        <v>573.88442700927931</v>
      </c>
      <c r="D172" s="26">
        <f t="shared" si="11"/>
        <v>563.83950963185282</v>
      </c>
      <c r="E172" s="26">
        <f t="shared" si="12"/>
        <v>10.044917377426486</v>
      </c>
      <c r="F172" s="26">
        <f t="shared" si="13"/>
        <v>-28.371854563660243</v>
      </c>
      <c r="G172" s="71">
        <f t="shared" si="14"/>
        <v>38.416771941086729</v>
      </c>
    </row>
    <row r="173" spans="1:7" x14ac:dyDescent="0.25">
      <c r="A173" s="62">
        <v>45482</v>
      </c>
      <c r="B173" s="25">
        <v>723</v>
      </c>
      <c r="C173" s="26">
        <f t="shared" si="10"/>
        <v>572.66072316382633</v>
      </c>
      <c r="D173" s="26">
        <f t="shared" si="11"/>
        <v>563.75784363691434</v>
      </c>
      <c r="E173" s="26">
        <f t="shared" si="12"/>
        <v>8.9028795269119883</v>
      </c>
      <c r="F173" s="26">
        <f t="shared" si="13"/>
        <v>-28.684186042856069</v>
      </c>
      <c r="G173" s="71">
        <f t="shared" si="14"/>
        <v>37.587065569768058</v>
      </c>
    </row>
    <row r="174" spans="1:7" x14ac:dyDescent="0.25">
      <c r="A174" s="62">
        <v>45481</v>
      </c>
      <c r="B174" s="25">
        <v>742.2</v>
      </c>
      <c r="C174" s="26">
        <f t="shared" si="10"/>
        <v>571.43845262044283</v>
      </c>
      <c r="D174" s="26">
        <f t="shared" si="11"/>
        <v>563.68546250254917</v>
      </c>
      <c r="E174" s="26">
        <f t="shared" si="12"/>
        <v>7.7529901178936598</v>
      </c>
      <c r="F174" s="26">
        <f t="shared" si="13"/>
        <v>-28.989771941797272</v>
      </c>
      <c r="G174" s="71">
        <f t="shared" si="14"/>
        <v>36.742762059690932</v>
      </c>
    </row>
    <row r="175" spans="1:7" x14ac:dyDescent="0.25">
      <c r="A175" s="62">
        <v>45478</v>
      </c>
      <c r="B175" s="25">
        <v>736.6</v>
      </c>
      <c r="C175" s="26">
        <f t="shared" si="10"/>
        <v>570.05014735719442</v>
      </c>
      <c r="D175" s="26">
        <f t="shared" si="11"/>
        <v>563.62243006256631</v>
      </c>
      <c r="E175" s="26">
        <f t="shared" si="12"/>
        <v>6.4277172946281098</v>
      </c>
      <c r="F175" s="26">
        <f t="shared" si="13"/>
        <v>-29.288493584558989</v>
      </c>
      <c r="G175" s="71">
        <f t="shared" si="14"/>
        <v>35.716210879187102</v>
      </c>
    </row>
    <row r="176" spans="1:7" x14ac:dyDescent="0.25">
      <c r="A176" s="62">
        <v>45477</v>
      </c>
      <c r="B176" s="25">
        <v>725.05</v>
      </c>
      <c r="C176" s="26">
        <f t="shared" si="10"/>
        <v>568.69608351456998</v>
      </c>
      <c r="D176" s="26">
        <f t="shared" si="11"/>
        <v>563.57017219838235</v>
      </c>
      <c r="E176" s="26">
        <f t="shared" si="12"/>
        <v>5.1259113161876257</v>
      </c>
      <c r="F176" s="26">
        <f t="shared" si="13"/>
        <v>-29.578869282763762</v>
      </c>
      <c r="G176" s="71">
        <f t="shared" si="14"/>
        <v>34.704780598951388</v>
      </c>
    </row>
    <row r="177" spans="1:7" x14ac:dyDescent="0.25">
      <c r="A177" s="62">
        <v>45476</v>
      </c>
      <c r="B177" s="25">
        <v>733.15</v>
      </c>
      <c r="C177" s="26">
        <f t="shared" si="10"/>
        <v>567.42491346184295</v>
      </c>
      <c r="D177" s="26">
        <f t="shared" si="11"/>
        <v>563.52849812264094</v>
      </c>
      <c r="E177" s="26">
        <f t="shared" si="12"/>
        <v>3.896415339202008</v>
      </c>
      <c r="F177" s="26">
        <f t="shared" si="13"/>
        <v>-29.861021970560113</v>
      </c>
      <c r="G177" s="71">
        <f t="shared" si="14"/>
        <v>33.757437309762125</v>
      </c>
    </row>
    <row r="178" spans="1:7" x14ac:dyDescent="0.25">
      <c r="A178" s="62">
        <v>45475</v>
      </c>
      <c r="B178" s="25">
        <v>730.5</v>
      </c>
      <c r="C178" s="26">
        <f t="shared" si="10"/>
        <v>566.07755503470344</v>
      </c>
      <c r="D178" s="26">
        <f t="shared" si="11"/>
        <v>563.49681994915147</v>
      </c>
      <c r="E178" s="26">
        <f t="shared" si="12"/>
        <v>2.5807350855519644</v>
      </c>
      <c r="F178" s="26">
        <f t="shared" si="13"/>
        <v>-30.135472680395576</v>
      </c>
      <c r="G178" s="71">
        <f t="shared" si="14"/>
        <v>32.716207765947544</v>
      </c>
    </row>
    <row r="179" spans="1:7" x14ac:dyDescent="0.25">
      <c r="A179" s="62">
        <v>45474</v>
      </c>
      <c r="B179" s="25">
        <v>750.2</v>
      </c>
      <c r="C179" s="26">
        <f t="shared" si="10"/>
        <v>564.74078718945714</v>
      </c>
      <c r="D179" s="26">
        <f t="shared" si="11"/>
        <v>563.47583836309002</v>
      </c>
      <c r="E179" s="26">
        <f t="shared" si="12"/>
        <v>1.2649488263671174</v>
      </c>
      <c r="F179" s="26">
        <f t="shared" si="13"/>
        <v>-30.401458109387018</v>
      </c>
      <c r="G179" s="71">
        <f t="shared" si="14"/>
        <v>31.666406935754136</v>
      </c>
    </row>
    <row r="180" spans="1:7" x14ac:dyDescent="0.25">
      <c r="A180" s="62">
        <v>45471</v>
      </c>
      <c r="B180" s="25">
        <v>734.5</v>
      </c>
      <c r="C180" s="26">
        <f t="shared" si="10"/>
        <v>563.23298871132261</v>
      </c>
      <c r="D180" s="26">
        <f t="shared" si="11"/>
        <v>563.46555422629024</v>
      </c>
      <c r="E180" s="26">
        <f t="shared" si="12"/>
        <v>-0.23256551496763223</v>
      </c>
      <c r="F180" s="26">
        <f t="shared" si="13"/>
        <v>-30.65890857227933</v>
      </c>
      <c r="G180" s="71">
        <f t="shared" si="14"/>
        <v>30.426343057311698</v>
      </c>
    </row>
    <row r="181" spans="1:7" x14ac:dyDescent="0.25">
      <c r="A181" s="62">
        <v>45470</v>
      </c>
      <c r="B181" s="25">
        <v>735.55</v>
      </c>
      <c r="C181" s="26">
        <f t="shared" si="10"/>
        <v>561.84057398539835</v>
      </c>
      <c r="D181" s="26">
        <f t="shared" si="11"/>
        <v>563.46744500283467</v>
      </c>
      <c r="E181" s="26">
        <f t="shared" si="12"/>
        <v>-1.626871017436315</v>
      </c>
      <c r="F181" s="26">
        <f t="shared" si="13"/>
        <v>-30.906277215021703</v>
      </c>
      <c r="G181" s="71">
        <f t="shared" si="14"/>
        <v>29.279406197585388</v>
      </c>
    </row>
    <row r="182" spans="1:7" x14ac:dyDescent="0.25">
      <c r="A182" s="62">
        <v>45469</v>
      </c>
      <c r="B182" s="25">
        <v>712.3</v>
      </c>
      <c r="C182" s="26">
        <f t="shared" si="10"/>
        <v>560.42830222918212</v>
      </c>
      <c r="D182" s="26">
        <f t="shared" si="11"/>
        <v>563.48067159647235</v>
      </c>
      <c r="E182" s="26">
        <f t="shared" si="12"/>
        <v>-3.0523693672902255</v>
      </c>
      <c r="F182" s="26">
        <f t="shared" si="13"/>
        <v>-31.1443211678476</v>
      </c>
      <c r="G182" s="71">
        <f t="shared" si="14"/>
        <v>28.091951800557375</v>
      </c>
    </row>
    <row r="183" spans="1:7" x14ac:dyDescent="0.25">
      <c r="A183" s="62">
        <v>45468</v>
      </c>
      <c r="B183" s="25">
        <v>720.1</v>
      </c>
      <c r="C183" s="26">
        <f t="shared" si="10"/>
        <v>559.19357297901286</v>
      </c>
      <c r="D183" s="26">
        <f t="shared" si="11"/>
        <v>563.50548760758852</v>
      </c>
      <c r="E183" s="26">
        <f t="shared" si="12"/>
        <v>-4.3119146285756642</v>
      </c>
      <c r="F183" s="26">
        <f t="shared" si="13"/>
        <v>-31.372711019884651</v>
      </c>
      <c r="G183" s="71">
        <f t="shared" si="14"/>
        <v>27.060796391308987</v>
      </c>
    </row>
    <row r="184" spans="1:7" x14ac:dyDescent="0.25">
      <c r="A184" s="62">
        <v>45467</v>
      </c>
      <c r="B184" s="25">
        <v>747.1</v>
      </c>
      <c r="C184" s="26">
        <f t="shared" si="10"/>
        <v>557.88539064550889</v>
      </c>
      <c r="D184" s="26">
        <f t="shared" si="11"/>
        <v>563.54054382408106</v>
      </c>
      <c r="E184" s="26">
        <f t="shared" si="12"/>
        <v>-5.6551531785721636</v>
      </c>
      <c r="F184" s="26">
        <f t="shared" si="13"/>
        <v>-31.592717494610742</v>
      </c>
      <c r="G184" s="71">
        <f t="shared" si="14"/>
        <v>25.937564316038578</v>
      </c>
    </row>
    <row r="185" spans="1:7" x14ac:dyDescent="0.25">
      <c r="A185" s="62">
        <v>45464</v>
      </c>
      <c r="B185" s="25">
        <v>723.65</v>
      </c>
      <c r="C185" s="26">
        <f t="shared" si="10"/>
        <v>556.34706048815531</v>
      </c>
      <c r="D185" s="26">
        <f t="shared" si="11"/>
        <v>563.58652067919138</v>
      </c>
      <c r="E185" s="26">
        <f t="shared" si="12"/>
        <v>-7.2394601910360734</v>
      </c>
      <c r="F185" s="26">
        <f t="shared" si="13"/>
        <v>-31.803592001245203</v>
      </c>
      <c r="G185" s="71">
        <f t="shared" si="14"/>
        <v>24.56413181020913</v>
      </c>
    </row>
    <row r="186" spans="1:7" x14ac:dyDescent="0.25">
      <c r="A186" s="62">
        <v>45463</v>
      </c>
      <c r="B186" s="25">
        <v>707.1</v>
      </c>
      <c r="C186" s="26">
        <f t="shared" si="10"/>
        <v>554.98687398805896</v>
      </c>
      <c r="D186" s="26">
        <f t="shared" si="11"/>
        <v>563.64537807911847</v>
      </c>
      <c r="E186" s="26">
        <f t="shared" si="12"/>
        <v>-8.6585040910595126</v>
      </c>
      <c r="F186" s="26">
        <f t="shared" si="13"/>
        <v>-32.003300389946091</v>
      </c>
      <c r="G186" s="71">
        <f t="shared" si="14"/>
        <v>23.344796298886578</v>
      </c>
    </row>
    <row r="187" spans="1:7" x14ac:dyDescent="0.25">
      <c r="A187" s="62">
        <v>45462</v>
      </c>
      <c r="B187" s="25">
        <v>698.4</v>
      </c>
      <c r="C187" s="26">
        <f t="shared" si="10"/>
        <v>553.75018190666106</v>
      </c>
      <c r="D187" s="26">
        <f t="shared" si="11"/>
        <v>563.71577242132219</v>
      </c>
      <c r="E187" s="26">
        <f t="shared" si="12"/>
        <v>-9.9655905146611303</v>
      </c>
      <c r="F187" s="26">
        <f t="shared" si="13"/>
        <v>-32.193095481806957</v>
      </c>
      <c r="G187" s="71">
        <f t="shared" si="14"/>
        <v>22.227504967145826</v>
      </c>
    </row>
    <row r="188" spans="1:7" x14ac:dyDescent="0.25">
      <c r="A188" s="62">
        <v>45461</v>
      </c>
      <c r="B188" s="25">
        <v>706.7</v>
      </c>
      <c r="C188" s="26">
        <f t="shared" si="10"/>
        <v>552.57416712541442</v>
      </c>
      <c r="D188" s="26">
        <f t="shared" si="11"/>
        <v>563.796793482417</v>
      </c>
      <c r="E188" s="26">
        <f t="shared" si="12"/>
        <v>-11.222626357002582</v>
      </c>
      <c r="F188" s="26">
        <f t="shared" si="13"/>
        <v>-32.373806904304075</v>
      </c>
      <c r="G188" s="71">
        <f t="shared" si="14"/>
        <v>21.151180547301493</v>
      </c>
    </row>
    <row r="189" spans="1:7" x14ac:dyDescent="0.25">
      <c r="A189" s="62">
        <v>45457</v>
      </c>
      <c r="B189" s="25">
        <v>683.6</v>
      </c>
      <c r="C189" s="26">
        <f t="shared" si="10"/>
        <v>551.3211115735885</v>
      </c>
      <c r="D189" s="26">
        <f t="shared" si="11"/>
        <v>563.88803434710803</v>
      </c>
      <c r="E189" s="26">
        <f t="shared" si="12"/>
        <v>-12.566922773519536</v>
      </c>
      <c r="F189" s="26">
        <f t="shared" si="13"/>
        <v>-32.545767721761813</v>
      </c>
      <c r="G189" s="71">
        <f t="shared" si="14"/>
        <v>19.978844948242276</v>
      </c>
    </row>
    <row r="190" spans="1:7" x14ac:dyDescent="0.25">
      <c r="A190" s="62">
        <v>45456</v>
      </c>
      <c r="B190" s="25">
        <v>659.45</v>
      </c>
      <c r="C190" s="26">
        <f t="shared" si="10"/>
        <v>550.24567345630055</v>
      </c>
      <c r="D190" s="26">
        <f t="shared" si="11"/>
        <v>563.99020445095778</v>
      </c>
      <c r="E190" s="26">
        <f t="shared" si="12"/>
        <v>-13.744530994657225</v>
      </c>
      <c r="F190" s="26">
        <f t="shared" si="13"/>
        <v>-32.708197355487357</v>
      </c>
      <c r="G190" s="71">
        <f t="shared" si="14"/>
        <v>18.963666360830132</v>
      </c>
    </row>
    <row r="191" spans="1:7" x14ac:dyDescent="0.25">
      <c r="A191" s="62">
        <v>45455</v>
      </c>
      <c r="B191" s="25">
        <v>650.25</v>
      </c>
      <c r="C191" s="26">
        <f t="shared" si="10"/>
        <v>549.35783340309979</v>
      </c>
      <c r="D191" s="26">
        <f t="shared" si="11"/>
        <v>564.10194860538593</v>
      </c>
      <c r="E191" s="26">
        <f t="shared" si="12"/>
        <v>-14.744115202286139</v>
      </c>
      <c r="F191" s="26">
        <f t="shared" si="13"/>
        <v>-32.862373504762395</v>
      </c>
      <c r="G191" s="71">
        <f t="shared" si="14"/>
        <v>18.118258302476256</v>
      </c>
    </row>
    <row r="192" spans="1:7" x14ac:dyDescent="0.25">
      <c r="A192" s="62">
        <v>45454</v>
      </c>
      <c r="B192" s="25">
        <v>638</v>
      </c>
      <c r="C192" s="26">
        <f t="shared" si="10"/>
        <v>548.53757188605186</v>
      </c>
      <c r="D192" s="26">
        <f t="shared" si="11"/>
        <v>564.22181946068906</v>
      </c>
      <c r="E192" s="26">
        <f t="shared" si="12"/>
        <v>-15.684247574637197</v>
      </c>
      <c r="F192" s="26">
        <f t="shared" si="13"/>
        <v>-33.009676417790658</v>
      </c>
      <c r="G192" s="71">
        <f t="shared" si="14"/>
        <v>17.32542884315346</v>
      </c>
    </row>
    <row r="193" spans="1:7" x14ac:dyDescent="0.25">
      <c r="A193" s="62">
        <v>45453</v>
      </c>
      <c r="B193" s="25">
        <v>629.65</v>
      </c>
      <c r="C193" s="26">
        <f t="shared" si="10"/>
        <v>547.81023507211728</v>
      </c>
      <c r="D193" s="26">
        <f t="shared" si="11"/>
        <v>564.34933366861299</v>
      </c>
      <c r="E193" s="26">
        <f t="shared" si="12"/>
        <v>-16.539098596495705</v>
      </c>
      <c r="F193" s="26">
        <f t="shared" si="13"/>
        <v>-33.150533562856943</v>
      </c>
      <c r="G193" s="71">
        <f t="shared" si="14"/>
        <v>16.611434966361237</v>
      </c>
    </row>
    <row r="194" spans="1:7" x14ac:dyDescent="0.25">
      <c r="A194" s="62">
        <v>45450</v>
      </c>
      <c r="B194" s="25">
        <v>625.95000000000005</v>
      </c>
      <c r="C194" s="26">
        <f t="shared" ref="C194:C235" si="15">((B194-C195)*$O$9)+C195</f>
        <v>547.14487112961422</v>
      </c>
      <c r="D194" s="26">
        <f t="shared" ref="D194:D221" si="16">((C194-D195)*$O$9)+D195</f>
        <v>564.48379788484465</v>
      </c>
      <c r="E194" s="26">
        <f t="shared" ref="E194:E222" si="17">C194-D194</f>
        <v>-17.338926755230432</v>
      </c>
      <c r="F194" s="26">
        <f t="shared" ref="F194:F213" si="18">((E194-F195)*$O$9+F195)</f>
        <v>-33.28558587965663</v>
      </c>
      <c r="G194" s="71">
        <f t="shared" ref="G194:G214" si="19">E194-F194</f>
        <v>15.946659124426198</v>
      </c>
    </row>
    <row r="195" spans="1:7" x14ac:dyDescent="0.25">
      <c r="A195" s="62">
        <v>45449</v>
      </c>
      <c r="B195" s="25">
        <v>625.1</v>
      </c>
      <c r="C195" s="26">
        <f t="shared" si="15"/>
        <v>546.50417902497691</v>
      </c>
      <c r="D195" s="26">
        <f t="shared" si="16"/>
        <v>564.6247647690335</v>
      </c>
      <c r="E195" s="26">
        <f t="shared" si="17"/>
        <v>-18.120585744056598</v>
      </c>
      <c r="F195" s="26">
        <f t="shared" si="18"/>
        <v>-33.415233514814567</v>
      </c>
      <c r="G195" s="71">
        <f t="shared" si="19"/>
        <v>15.294647770757969</v>
      </c>
    </row>
    <row r="196" spans="1:7" x14ac:dyDescent="0.25">
      <c r="A196" s="62">
        <v>45448</v>
      </c>
      <c r="B196" s="25">
        <v>608.54999999999995</v>
      </c>
      <c r="C196" s="26">
        <f t="shared" si="15"/>
        <v>545.86518861054583</v>
      </c>
      <c r="D196" s="26">
        <f t="shared" si="16"/>
        <v>564.77208660435099</v>
      </c>
      <c r="E196" s="26">
        <f t="shared" si="17"/>
        <v>-18.90689799380516</v>
      </c>
      <c r="F196" s="26">
        <f t="shared" si="18"/>
        <v>-33.539580244658126</v>
      </c>
      <c r="G196" s="71">
        <f t="shared" si="19"/>
        <v>14.632682250852966</v>
      </c>
    </row>
    <row r="197" spans="1:7" x14ac:dyDescent="0.25">
      <c r="A197" s="62">
        <v>45447</v>
      </c>
      <c r="B197" s="25">
        <v>553.29999999999995</v>
      </c>
      <c r="C197" s="26">
        <f t="shared" si="15"/>
        <v>545.35555599762347</v>
      </c>
      <c r="D197" s="26">
        <f t="shared" si="16"/>
        <v>564.92580122218681</v>
      </c>
      <c r="E197" s="26">
        <f t="shared" si="17"/>
        <v>-19.570245224563337</v>
      </c>
      <c r="F197" s="26">
        <f t="shared" si="18"/>
        <v>-33.65854514100652</v>
      </c>
      <c r="G197" s="71">
        <f t="shared" si="19"/>
        <v>14.088299916443184</v>
      </c>
    </row>
    <row r="198" spans="1:7" x14ac:dyDescent="0.25">
      <c r="A198" s="62">
        <v>45446</v>
      </c>
      <c r="B198" s="25">
        <v>658.7</v>
      </c>
      <c r="C198" s="26">
        <f t="shared" si="15"/>
        <v>545.29096702199445</v>
      </c>
      <c r="D198" s="26">
        <f t="shared" si="16"/>
        <v>565.0849089069394</v>
      </c>
      <c r="E198" s="26">
        <f t="shared" si="17"/>
        <v>-19.793941884944957</v>
      </c>
      <c r="F198" s="26">
        <f t="shared" si="18"/>
        <v>-33.773084164717439</v>
      </c>
      <c r="G198" s="71">
        <f t="shared" si="19"/>
        <v>13.979142279772482</v>
      </c>
    </row>
    <row r="199" spans="1:7" x14ac:dyDescent="0.25">
      <c r="A199" s="62">
        <v>45443</v>
      </c>
      <c r="B199" s="25">
        <v>613</v>
      </c>
      <c r="C199" s="26">
        <f t="shared" si="15"/>
        <v>544.36894236363673</v>
      </c>
      <c r="D199" s="26">
        <f t="shared" si="16"/>
        <v>565.2458352637276</v>
      </c>
      <c r="E199" s="26">
        <f t="shared" si="17"/>
        <v>-20.876892900090866</v>
      </c>
      <c r="F199" s="26">
        <f t="shared" si="18"/>
        <v>-33.886735727967618</v>
      </c>
      <c r="G199" s="71">
        <f t="shared" si="19"/>
        <v>13.009842827876753</v>
      </c>
    </row>
    <row r="200" spans="1:7" x14ac:dyDescent="0.25">
      <c r="A200" s="62">
        <v>45442</v>
      </c>
      <c r="B200" s="25">
        <v>609</v>
      </c>
      <c r="C200" s="26">
        <f t="shared" si="15"/>
        <v>543.81096628529235</v>
      </c>
      <c r="D200" s="26">
        <f t="shared" si="16"/>
        <v>565.41556610031375</v>
      </c>
      <c r="E200" s="26">
        <f t="shared" si="17"/>
        <v>-21.604599815021402</v>
      </c>
      <c r="F200" s="26">
        <f t="shared" si="18"/>
        <v>-33.992506807869056</v>
      </c>
      <c r="G200" s="71">
        <f t="shared" si="19"/>
        <v>12.387906992847654</v>
      </c>
    </row>
    <row r="201" spans="1:7" x14ac:dyDescent="0.25">
      <c r="A201" s="62">
        <v>45441</v>
      </c>
      <c r="B201" s="25">
        <v>604.20000000000005</v>
      </c>
      <c r="C201" s="26">
        <f t="shared" si="15"/>
        <v>543.28097414127035</v>
      </c>
      <c r="D201" s="26">
        <f t="shared" si="16"/>
        <v>565.59121325328135</v>
      </c>
      <c r="E201" s="26">
        <f t="shared" si="17"/>
        <v>-22.310239112011004</v>
      </c>
      <c r="F201" s="26">
        <f t="shared" si="18"/>
        <v>-34.09322149886782</v>
      </c>
      <c r="G201" s="71">
        <f t="shared" si="19"/>
        <v>11.782982386856816</v>
      </c>
    </row>
    <row r="202" spans="1:7" x14ac:dyDescent="0.25">
      <c r="A202" s="62">
        <v>45440</v>
      </c>
      <c r="B202" s="25">
        <v>612.95000000000005</v>
      </c>
      <c r="C202" s="26">
        <f t="shared" si="15"/>
        <v>542.78569750827251</v>
      </c>
      <c r="D202" s="26">
        <f t="shared" si="16"/>
        <v>565.77259731110257</v>
      </c>
      <c r="E202" s="26">
        <f t="shared" si="17"/>
        <v>-22.986899802830067</v>
      </c>
      <c r="F202" s="26">
        <f t="shared" si="18"/>
        <v>-34.189018103639015</v>
      </c>
      <c r="G202" s="71">
        <f t="shared" si="19"/>
        <v>11.202118300808948</v>
      </c>
    </row>
    <row r="203" spans="1:7" x14ac:dyDescent="0.25">
      <c r="A203" s="62">
        <v>45439</v>
      </c>
      <c r="B203" s="25">
        <v>621.1</v>
      </c>
      <c r="C203" s="26">
        <f t="shared" si="15"/>
        <v>542.21525602459997</v>
      </c>
      <c r="D203" s="26">
        <f t="shared" si="16"/>
        <v>565.95948267535323</v>
      </c>
      <c r="E203" s="26">
        <f t="shared" si="17"/>
        <v>-23.744226650753262</v>
      </c>
      <c r="F203" s="26">
        <f t="shared" si="18"/>
        <v>-34.280092236165913</v>
      </c>
      <c r="G203" s="71">
        <f t="shared" si="19"/>
        <v>10.535865585412651</v>
      </c>
    </row>
    <row r="204" spans="1:7" x14ac:dyDescent="0.25">
      <c r="A204" s="62">
        <v>45436</v>
      </c>
      <c r="B204" s="25">
        <v>600.65</v>
      </c>
      <c r="C204" s="26">
        <f t="shared" si="15"/>
        <v>541.57391664268619</v>
      </c>
      <c r="D204" s="26">
        <f t="shared" si="16"/>
        <v>566.15252516844873</v>
      </c>
      <c r="E204" s="26">
        <f t="shared" si="17"/>
        <v>-24.578608525762547</v>
      </c>
      <c r="F204" s="26">
        <f t="shared" si="18"/>
        <v>-34.365749679949758</v>
      </c>
      <c r="G204" s="71">
        <f t="shared" si="19"/>
        <v>9.7871411541872106</v>
      </c>
    </row>
    <row r="205" spans="1:7" x14ac:dyDescent="0.25">
      <c r="A205" s="62">
        <v>45435</v>
      </c>
      <c r="B205" s="25">
        <v>617.45000000000005</v>
      </c>
      <c r="C205" s="26">
        <f t="shared" si="15"/>
        <v>541.09362328205759</v>
      </c>
      <c r="D205" s="26">
        <f t="shared" si="16"/>
        <v>566.35235125402403</v>
      </c>
      <c r="E205" s="26">
        <f t="shared" si="17"/>
        <v>-25.258727971966437</v>
      </c>
      <c r="F205" s="26">
        <f t="shared" si="18"/>
        <v>-34.44531993323583</v>
      </c>
      <c r="G205" s="71">
        <f t="shared" si="19"/>
        <v>9.1865919612693929</v>
      </c>
    </row>
    <row r="206" spans="1:7" x14ac:dyDescent="0.25">
      <c r="A206" s="62">
        <v>45434</v>
      </c>
      <c r="B206" s="25">
        <v>609.45000000000005</v>
      </c>
      <c r="C206" s="26">
        <f t="shared" si="15"/>
        <v>540.47283973150525</v>
      </c>
      <c r="D206" s="26">
        <f t="shared" si="16"/>
        <v>566.55770676599127</v>
      </c>
      <c r="E206" s="26">
        <f t="shared" si="17"/>
        <v>-26.084867034486024</v>
      </c>
      <c r="F206" s="26">
        <f t="shared" si="18"/>
        <v>-34.520007672758346</v>
      </c>
      <c r="G206" s="71">
        <f t="shared" si="19"/>
        <v>8.4351406382723226</v>
      </c>
    </row>
    <row r="207" spans="1:7" x14ac:dyDescent="0.25">
      <c r="A207" s="62">
        <v>45433</v>
      </c>
      <c r="B207" s="25">
        <v>603.9</v>
      </c>
      <c r="C207" s="26">
        <f t="shared" si="15"/>
        <v>539.91204981062322</v>
      </c>
      <c r="D207" s="26">
        <f t="shared" si="16"/>
        <v>566.7697788557025</v>
      </c>
      <c r="E207" s="26">
        <f t="shared" si="17"/>
        <v>-26.857729045079282</v>
      </c>
      <c r="F207" s="26">
        <f t="shared" si="18"/>
        <v>-34.588586051931294</v>
      </c>
      <c r="G207" s="71">
        <f t="shared" si="19"/>
        <v>7.7308570068520126</v>
      </c>
    </row>
    <row r="208" spans="1:7" x14ac:dyDescent="0.25">
      <c r="A208" s="62">
        <v>45430</v>
      </c>
      <c r="B208" s="25">
        <v>597.75</v>
      </c>
      <c r="C208" s="26">
        <f t="shared" si="15"/>
        <v>539.39182257331117</v>
      </c>
      <c r="D208" s="26">
        <f t="shared" si="16"/>
        <v>566.98813437639421</v>
      </c>
      <c r="E208" s="26">
        <f t="shared" si="17"/>
        <v>-27.59631180308304</v>
      </c>
      <c r="F208" s="26">
        <f t="shared" si="18"/>
        <v>-34.651438547921963</v>
      </c>
      <c r="G208" s="71">
        <f t="shared" si="19"/>
        <v>7.0551267448389225</v>
      </c>
    </row>
    <row r="209" spans="1:7" x14ac:dyDescent="0.25">
      <c r="A209" s="62">
        <v>45429</v>
      </c>
      <c r="B209" s="25">
        <v>593.9</v>
      </c>
      <c r="C209" s="26">
        <f t="shared" si="15"/>
        <v>538.91736584626494</v>
      </c>
      <c r="D209" s="26">
        <f t="shared" si="16"/>
        <v>567.21249463495587</v>
      </c>
      <c r="E209" s="26">
        <f t="shared" si="17"/>
        <v>-28.295128788690931</v>
      </c>
      <c r="F209" s="26">
        <f t="shared" si="18"/>
        <v>-34.70879730194504</v>
      </c>
      <c r="G209" s="71">
        <f t="shared" si="19"/>
        <v>6.4136685132541089</v>
      </c>
    </row>
    <row r="210" spans="1:7" x14ac:dyDescent="0.25">
      <c r="A210" s="62">
        <v>45428</v>
      </c>
      <c r="B210" s="25">
        <v>594.15</v>
      </c>
      <c r="C210" s="26">
        <f t="shared" si="15"/>
        <v>538.47035256046217</v>
      </c>
      <c r="D210" s="26">
        <f t="shared" si="16"/>
        <v>567.44253633242488</v>
      </c>
      <c r="E210" s="26">
        <f t="shared" si="17"/>
        <v>-28.972183771962705</v>
      </c>
      <c r="F210" s="26">
        <f t="shared" si="18"/>
        <v>-34.760940948394257</v>
      </c>
      <c r="G210" s="71">
        <f t="shared" si="19"/>
        <v>5.7887571764315524</v>
      </c>
    </row>
    <row r="211" spans="1:7" x14ac:dyDescent="0.25">
      <c r="A211" s="62">
        <v>45427</v>
      </c>
      <c r="B211" s="25">
        <v>598.04999999999995</v>
      </c>
      <c r="C211" s="26">
        <f t="shared" si="15"/>
        <v>538.01767249997818</v>
      </c>
      <c r="D211" s="26">
        <f t="shared" si="16"/>
        <v>567.67808254195302</v>
      </c>
      <c r="E211" s="26">
        <f t="shared" si="17"/>
        <v>-29.660410041974842</v>
      </c>
      <c r="F211" s="26">
        <f t="shared" si="18"/>
        <v>-34.808004014869312</v>
      </c>
      <c r="G211" s="71">
        <f t="shared" si="19"/>
        <v>5.1475939728944695</v>
      </c>
    </row>
    <row r="212" spans="1:7" x14ac:dyDescent="0.25">
      <c r="A212" s="62">
        <v>45426</v>
      </c>
      <c r="B212" s="25">
        <v>599.70000000000005</v>
      </c>
      <c r="C212" s="26">
        <f t="shared" si="15"/>
        <v>537.52960479672595</v>
      </c>
      <c r="D212" s="26">
        <f t="shared" si="16"/>
        <v>567.91922408700975</v>
      </c>
      <c r="E212" s="26">
        <f t="shared" si="17"/>
        <v>-30.389619290283804</v>
      </c>
      <c r="F212" s="26">
        <f t="shared" si="18"/>
        <v>-34.849854372372519</v>
      </c>
      <c r="G212" s="71">
        <f t="shared" si="19"/>
        <v>4.4602350820887153</v>
      </c>
    </row>
    <row r="213" spans="1:7" x14ac:dyDescent="0.25">
      <c r="A213" s="62">
        <v>45425</v>
      </c>
      <c r="B213" s="25">
        <v>574.4</v>
      </c>
      <c r="C213" s="26">
        <f t="shared" si="15"/>
        <v>537.02415442921961</v>
      </c>
      <c r="D213" s="26">
        <f t="shared" si="16"/>
        <v>568.16629416254057</v>
      </c>
      <c r="E213" s="26">
        <f t="shared" si="17"/>
        <v>-31.14213973332096</v>
      </c>
      <c r="F213" s="26">
        <f t="shared" si="18"/>
        <v>-34.886116446210636</v>
      </c>
      <c r="G213" s="71">
        <f t="shared" si="19"/>
        <v>3.7439767128896762</v>
      </c>
    </row>
    <row r="214" spans="1:7" x14ac:dyDescent="0.25">
      <c r="A214" s="62">
        <v>45422</v>
      </c>
      <c r="B214" s="25">
        <v>570.25</v>
      </c>
      <c r="C214" s="26">
        <f t="shared" si="15"/>
        <v>536.72028576604248</v>
      </c>
      <c r="D214" s="26">
        <f t="shared" si="16"/>
        <v>568.41948229045374</v>
      </c>
      <c r="E214" s="26">
        <f t="shared" si="17"/>
        <v>-31.699196524411263</v>
      </c>
      <c r="F214" s="26">
        <f>((E214-F215)*$O$9+F215)</f>
        <v>-34.916555281274782</v>
      </c>
      <c r="G214" s="71">
        <f t="shared" si="19"/>
        <v>3.2173587568635185</v>
      </c>
    </row>
    <row r="215" spans="1:7" x14ac:dyDescent="0.25">
      <c r="A215" s="62">
        <v>45421</v>
      </c>
      <c r="B215" s="25">
        <v>530.95000000000005</v>
      </c>
      <c r="C215" s="26">
        <f t="shared" si="15"/>
        <v>536.44768646332739</v>
      </c>
      <c r="D215" s="26">
        <f t="shared" si="16"/>
        <v>568.67719933536762</v>
      </c>
      <c r="E215" s="26">
        <f t="shared" si="17"/>
        <v>-32.229512872040232</v>
      </c>
      <c r="F215" s="26">
        <f>AVERAGE(E215:E223)</f>
        <v>-34.942712669541962</v>
      </c>
      <c r="G215" s="71">
        <f>E215-F215</f>
        <v>2.7131997975017299</v>
      </c>
    </row>
    <row r="216" spans="1:7" x14ac:dyDescent="0.25">
      <c r="A216" s="62">
        <v>45420</v>
      </c>
      <c r="B216" s="25">
        <v>557.25</v>
      </c>
      <c r="C216" s="26">
        <f t="shared" si="15"/>
        <v>536.49238310124065</v>
      </c>
      <c r="D216" s="26">
        <f t="shared" si="16"/>
        <v>568.93922789530291</v>
      </c>
      <c r="E216" s="26">
        <f t="shared" si="17"/>
        <v>-32.446844794062258</v>
      </c>
      <c r="F216" s="25"/>
      <c r="G216" s="72"/>
    </row>
    <row r="217" spans="1:7" x14ac:dyDescent="0.25">
      <c r="A217" s="62">
        <v>45419</v>
      </c>
      <c r="B217" s="25">
        <v>584.04999999999995</v>
      </c>
      <c r="C217" s="26">
        <f t="shared" si="15"/>
        <v>536.32362198824262</v>
      </c>
      <c r="D217" s="26">
        <f t="shared" si="16"/>
        <v>569.20302338143347</v>
      </c>
      <c r="E217" s="26">
        <f t="shared" si="17"/>
        <v>-32.879401393190847</v>
      </c>
      <c r="F217" s="25"/>
      <c r="G217" s="72"/>
    </row>
    <row r="218" spans="1:7" x14ac:dyDescent="0.25">
      <c r="A218" s="62">
        <v>45418</v>
      </c>
      <c r="B218" s="25">
        <v>617.54999999999995</v>
      </c>
      <c r="C218" s="26">
        <f t="shared" si="15"/>
        <v>535.93560265481369</v>
      </c>
      <c r="D218" s="26">
        <f t="shared" si="16"/>
        <v>569.47033558788212</v>
      </c>
      <c r="E218" s="26">
        <f t="shared" si="17"/>
        <v>-33.534732933068426</v>
      </c>
      <c r="F218" s="25"/>
      <c r="G218" s="72"/>
    </row>
    <row r="219" spans="1:7" x14ac:dyDescent="0.25">
      <c r="A219" s="62">
        <v>45415</v>
      </c>
      <c r="B219" s="25">
        <v>642.20000000000005</v>
      </c>
      <c r="C219" s="26">
        <f t="shared" si="15"/>
        <v>535.27207096908046</v>
      </c>
      <c r="D219" s="26">
        <f t="shared" si="16"/>
        <v>569.74297569302905</v>
      </c>
      <c r="E219" s="26">
        <f t="shared" si="17"/>
        <v>-34.470904723948593</v>
      </c>
      <c r="F219" s="25"/>
      <c r="G219" s="72"/>
    </row>
    <row r="220" spans="1:7" x14ac:dyDescent="0.25">
      <c r="A220" s="62">
        <v>45414</v>
      </c>
      <c r="B220" s="25">
        <v>638.25</v>
      </c>
      <c r="C220" s="26">
        <f t="shared" si="15"/>
        <v>534.40273821273149</v>
      </c>
      <c r="D220" s="26">
        <f>((C220-D221)*$O$9)+D221</f>
        <v>570.02322695094733</v>
      </c>
      <c r="E220" s="26">
        <f t="shared" si="17"/>
        <v>-35.62048873821584</v>
      </c>
      <c r="F220" s="25"/>
      <c r="G220" s="72"/>
    </row>
    <row r="221" spans="1:7" x14ac:dyDescent="0.25">
      <c r="A221" s="62">
        <v>45412</v>
      </c>
      <c r="B221" s="25">
        <v>629.54999999999995</v>
      </c>
      <c r="C221" s="26">
        <f t="shared" si="15"/>
        <v>533.55845153153416</v>
      </c>
      <c r="D221" s="26">
        <f t="shared" si="16"/>
        <v>570.31282442036377</v>
      </c>
      <c r="E221" s="26">
        <f t="shared" si="17"/>
        <v>-36.754372888829607</v>
      </c>
      <c r="F221" s="25"/>
      <c r="G221" s="72"/>
    </row>
    <row r="222" spans="1:7" x14ac:dyDescent="0.25">
      <c r="A222" s="62">
        <v>45411</v>
      </c>
      <c r="B222" s="25">
        <v>603.29999999999995</v>
      </c>
      <c r="C222" s="26">
        <f t="shared" si="15"/>
        <v>532.77803243829464</v>
      </c>
      <c r="D222" s="26">
        <f>((C222-D223)*$O$9)+D223</f>
        <v>570.61164046011038</v>
      </c>
      <c r="E222" s="26">
        <f t="shared" si="17"/>
        <v>-37.833608021815735</v>
      </c>
      <c r="F222" s="25"/>
      <c r="G222" s="72"/>
    </row>
    <row r="223" spans="1:7" x14ac:dyDescent="0.25">
      <c r="A223" s="62">
        <v>45408</v>
      </c>
      <c r="B223" s="25">
        <v>600.9</v>
      </c>
      <c r="C223" s="26">
        <f t="shared" si="15"/>
        <v>532.2046831085247</v>
      </c>
      <c r="D223" s="26">
        <f>AVERAGE(B223:B248)</f>
        <v>570.91923076923081</v>
      </c>
      <c r="E223" s="26">
        <f>C223-D223</f>
        <v>-38.714547660706103</v>
      </c>
      <c r="F223" s="25"/>
      <c r="G223" s="72"/>
    </row>
    <row r="224" spans="1:7" x14ac:dyDescent="0.25">
      <c r="A224" s="62">
        <v>45407</v>
      </c>
      <c r="B224" s="25">
        <v>604.70000000000005</v>
      </c>
      <c r="C224" s="26">
        <f t="shared" si="15"/>
        <v>531.64618459721191</v>
      </c>
      <c r="D224" s="25"/>
      <c r="E224" s="25"/>
      <c r="F224" s="25"/>
      <c r="G224" s="72"/>
    </row>
    <row r="225" spans="1:7" x14ac:dyDescent="0.25">
      <c r="A225" s="62">
        <v>45406</v>
      </c>
      <c r="B225" s="25">
        <v>600.4</v>
      </c>
      <c r="C225" s="26">
        <f t="shared" si="15"/>
        <v>531.05225113865265</v>
      </c>
      <c r="D225" s="25"/>
      <c r="E225" s="25"/>
      <c r="F225" s="25"/>
      <c r="G225" s="72"/>
    </row>
    <row r="226" spans="1:7" x14ac:dyDescent="0.25">
      <c r="A226" s="62">
        <v>45405</v>
      </c>
      <c r="B226" s="25">
        <v>616.35</v>
      </c>
      <c r="C226" s="26">
        <f t="shared" si="15"/>
        <v>530.48844830238158</v>
      </c>
      <c r="D226" s="25"/>
      <c r="E226" s="25"/>
      <c r="F226" s="25"/>
      <c r="G226" s="72"/>
    </row>
    <row r="227" spans="1:7" x14ac:dyDescent="0.25">
      <c r="A227" s="62">
        <v>45404</v>
      </c>
      <c r="B227" s="25">
        <v>611.45000000000005</v>
      </c>
      <c r="C227" s="26">
        <f t="shared" si="15"/>
        <v>529.79038690646598</v>
      </c>
      <c r="D227" s="25"/>
      <c r="E227" s="25"/>
      <c r="F227" s="25"/>
      <c r="G227" s="72"/>
    </row>
    <row r="228" spans="1:7" x14ac:dyDescent="0.25">
      <c r="A228" s="62">
        <v>45401</v>
      </c>
      <c r="B228" s="25">
        <v>626.70000000000005</v>
      </c>
      <c r="C228" s="26">
        <f t="shared" si="15"/>
        <v>529.12648761302262</v>
      </c>
      <c r="D228" s="25"/>
      <c r="E228" s="25"/>
      <c r="F228" s="25"/>
      <c r="G228" s="72"/>
    </row>
    <row r="229" spans="1:7" x14ac:dyDescent="0.25">
      <c r="A229" s="62">
        <v>45400</v>
      </c>
      <c r="B229" s="25">
        <v>628.5</v>
      </c>
      <c r="C229" s="26">
        <f t="shared" si="15"/>
        <v>528.33320702451056</v>
      </c>
      <c r="D229" s="25"/>
      <c r="E229" s="25"/>
      <c r="F229" s="25"/>
      <c r="G229" s="72"/>
    </row>
    <row r="230" spans="1:7" x14ac:dyDescent="0.25">
      <c r="A230" s="62">
        <v>45398</v>
      </c>
      <c r="B230" s="25">
        <v>602.04999999999995</v>
      </c>
      <c r="C230" s="26">
        <f t="shared" si="15"/>
        <v>527.51884285397807</v>
      </c>
      <c r="D230" s="25"/>
      <c r="E230" s="25"/>
      <c r="F230" s="25"/>
      <c r="G230" s="72"/>
    </row>
    <row r="231" spans="1:7" x14ac:dyDescent="0.25">
      <c r="A231" s="62">
        <v>45397</v>
      </c>
      <c r="B231" s="25">
        <v>609.5</v>
      </c>
      <c r="C231" s="26">
        <f t="shared" si="15"/>
        <v>526.91289848693725</v>
      </c>
      <c r="D231" s="25"/>
      <c r="E231" s="25"/>
      <c r="F231" s="25"/>
      <c r="G231" s="72"/>
    </row>
    <row r="232" spans="1:7" x14ac:dyDescent="0.25">
      <c r="A232" s="62">
        <v>45394</v>
      </c>
      <c r="B232" s="25">
        <v>616.45000000000005</v>
      </c>
      <c r="C232" s="26">
        <f t="shared" si="15"/>
        <v>526.24145863723754</v>
      </c>
      <c r="D232" s="25"/>
      <c r="E232" s="25"/>
      <c r="F232" s="25"/>
      <c r="G232" s="72"/>
    </row>
    <row r="233" spans="1:7" x14ac:dyDescent="0.25">
      <c r="A233" s="62">
        <v>45392</v>
      </c>
      <c r="B233" s="25">
        <v>616.04999999999995</v>
      </c>
      <c r="C233" s="26">
        <f t="shared" si="15"/>
        <v>525.50805586193053</v>
      </c>
      <c r="D233" s="25"/>
      <c r="E233" s="25"/>
      <c r="F233" s="25"/>
      <c r="G233" s="72"/>
    </row>
    <row r="234" spans="1:7" x14ac:dyDescent="0.25">
      <c r="A234" s="62">
        <v>45391</v>
      </c>
      <c r="B234" s="25">
        <v>613.1</v>
      </c>
      <c r="C234" s="26">
        <f t="shared" si="15"/>
        <v>524.77194249495437</v>
      </c>
      <c r="D234" s="25"/>
      <c r="E234" s="25"/>
      <c r="F234" s="25"/>
      <c r="G234" s="72"/>
    </row>
    <row r="235" spans="1:7" x14ac:dyDescent="0.25">
      <c r="A235" s="62">
        <v>45390</v>
      </c>
      <c r="B235" s="25">
        <v>627.5</v>
      </c>
      <c r="C235" s="26">
        <f t="shared" si="15"/>
        <v>524.05382820629552</v>
      </c>
      <c r="D235" s="25"/>
      <c r="E235" s="25"/>
      <c r="F235" s="25"/>
      <c r="G235" s="72"/>
    </row>
    <row r="236" spans="1:7" x14ac:dyDescent="0.25">
      <c r="A236" s="62">
        <v>45387</v>
      </c>
      <c r="B236" s="25">
        <v>599.1</v>
      </c>
      <c r="C236" s="26">
        <f>((B236-C237)*$O$9)+C237</f>
        <v>523.21280241935483</v>
      </c>
      <c r="D236" s="25"/>
      <c r="E236" s="25"/>
      <c r="F236" s="25"/>
      <c r="G236" s="72"/>
    </row>
    <row r="237" spans="1:7" x14ac:dyDescent="0.25">
      <c r="A237" s="62">
        <v>45386</v>
      </c>
      <c r="B237" s="25">
        <v>583.04999999999995</v>
      </c>
      <c r="C237" s="26">
        <f>AVERAGE(B237:B248)</f>
        <v>522.5958333333333</v>
      </c>
      <c r="D237" s="25"/>
      <c r="E237" s="25"/>
      <c r="F237" s="25"/>
      <c r="G237" s="72"/>
    </row>
    <row r="238" spans="1:7" x14ac:dyDescent="0.25">
      <c r="A238" s="62">
        <v>45385</v>
      </c>
      <c r="B238" s="25">
        <v>581.35</v>
      </c>
      <c r="C238" s="25"/>
      <c r="D238" s="25"/>
      <c r="E238" s="25"/>
      <c r="F238" s="25"/>
      <c r="G238" s="72"/>
    </row>
    <row r="239" spans="1:7" x14ac:dyDescent="0.25">
      <c r="A239" s="62">
        <v>45384</v>
      </c>
      <c r="B239" s="25">
        <v>542.20000000000005</v>
      </c>
      <c r="C239" s="25"/>
      <c r="D239" s="25"/>
      <c r="E239" s="25"/>
      <c r="F239" s="25"/>
      <c r="G239" s="72"/>
    </row>
    <row r="240" spans="1:7" x14ac:dyDescent="0.25">
      <c r="A240" s="62">
        <v>45383</v>
      </c>
      <c r="B240" s="25">
        <v>518.45000000000005</v>
      </c>
      <c r="C240" s="25"/>
      <c r="D240" s="25"/>
      <c r="E240" s="25"/>
      <c r="F240" s="25"/>
      <c r="G240" s="72"/>
    </row>
    <row r="241" spans="1:7" x14ac:dyDescent="0.25">
      <c r="A241" s="62">
        <v>45379</v>
      </c>
      <c r="B241" s="25">
        <v>528.9</v>
      </c>
      <c r="C241" s="25"/>
      <c r="D241" s="25"/>
      <c r="E241" s="25"/>
      <c r="F241" s="25"/>
      <c r="G241" s="72"/>
    </row>
    <row r="242" spans="1:7" x14ac:dyDescent="0.25">
      <c r="A242" s="62">
        <v>45378</v>
      </c>
      <c r="B242" s="25">
        <v>516.65</v>
      </c>
      <c r="C242" s="25"/>
      <c r="D242" s="25"/>
      <c r="E242" s="25"/>
      <c r="F242" s="25"/>
      <c r="G242" s="72"/>
    </row>
    <row r="243" spans="1:7" x14ac:dyDescent="0.25">
      <c r="A243" s="62">
        <v>45377</v>
      </c>
      <c r="B243" s="25">
        <v>513.20000000000005</v>
      </c>
      <c r="C243" s="25"/>
      <c r="D243" s="25"/>
      <c r="E243" s="25"/>
      <c r="F243" s="25"/>
      <c r="G243" s="72"/>
    </row>
    <row r="244" spans="1:7" x14ac:dyDescent="0.25">
      <c r="A244" s="62">
        <v>45373</v>
      </c>
      <c r="B244" s="25">
        <v>515.45000000000005</v>
      </c>
      <c r="C244" s="25"/>
      <c r="D244" s="25"/>
      <c r="E244" s="25"/>
      <c r="F244" s="25"/>
      <c r="G244" s="72"/>
    </row>
    <row r="245" spans="1:7" x14ac:dyDescent="0.25">
      <c r="A245" s="62">
        <v>45372</v>
      </c>
      <c r="B245" s="25">
        <v>504.55</v>
      </c>
      <c r="C245" s="25"/>
      <c r="D245" s="25"/>
      <c r="E245" s="25"/>
      <c r="F245" s="25"/>
      <c r="G245" s="72"/>
    </row>
    <row r="246" spans="1:7" x14ac:dyDescent="0.25">
      <c r="A246" s="62">
        <v>45371</v>
      </c>
      <c r="B246" s="25">
        <v>489.15</v>
      </c>
      <c r="C246" s="25"/>
      <c r="D246" s="25"/>
      <c r="E246" s="25"/>
      <c r="F246" s="25"/>
      <c r="G246" s="72"/>
    </row>
    <row r="247" spans="1:7" x14ac:dyDescent="0.25">
      <c r="A247" s="62">
        <v>45370</v>
      </c>
      <c r="B247" s="25">
        <v>482.8</v>
      </c>
      <c r="C247" s="25"/>
      <c r="D247" s="25"/>
      <c r="E247" s="25"/>
      <c r="F247" s="25"/>
      <c r="G247" s="72"/>
    </row>
    <row r="248" spans="1:7" x14ac:dyDescent="0.25">
      <c r="A248" s="64">
        <v>45369</v>
      </c>
      <c r="B248" s="65">
        <v>495.4</v>
      </c>
      <c r="C248" s="65"/>
      <c r="D248" s="65"/>
      <c r="E248" s="65"/>
      <c r="F248" s="65"/>
      <c r="G248" s="67"/>
    </row>
  </sheetData>
  <conditionalFormatting sqref="G2:G215">
    <cfRule type="colorScale" priority="8">
      <colorScale>
        <cfvo type="min"/>
        <cfvo type="max"/>
        <color rgb="FFFCFCFF"/>
        <color rgb="FF63BE7B"/>
      </colorScale>
    </cfRule>
  </conditionalFormatting>
  <conditionalFormatting sqref="E1 E224:E1048576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F1:F1048576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G1:G1048576">
    <cfRule type="colorScale" priority="5">
      <colorScale>
        <cfvo type="min"/>
        <cfvo type="max"/>
        <color rgb="FFFFEF9C"/>
        <color rgb="FF63BE7B"/>
      </colorScale>
    </cfRule>
  </conditionalFormatting>
  <conditionalFormatting sqref="E2:E223">
    <cfRule type="iconSet" priority="2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orientation="portrait" r:id="rId1"/>
  <ignoredErrors>
    <ignoredError sqref="F2:F215" formula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C18C338-9BC2-45CF-B19F-2B33141434AB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F2:F215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6724F-0D89-4362-9028-6364D12E9210}">
  <dimension ref="A1:I73"/>
  <sheetViews>
    <sheetView workbookViewId="0">
      <selection activeCell="I12" sqref="I12"/>
    </sheetView>
  </sheetViews>
  <sheetFormatPr defaultRowHeight="15" x14ac:dyDescent="0.25"/>
  <cols>
    <col min="1" max="1" width="50.85546875" bestFit="1" customWidth="1"/>
    <col min="2" max="6" width="9.42578125" customWidth="1"/>
  </cols>
  <sheetData>
    <row r="1" spans="1:6" x14ac:dyDescent="0.25">
      <c r="A1" t="s">
        <v>81</v>
      </c>
      <c r="B1" s="51" t="s">
        <v>228</v>
      </c>
      <c r="C1" s="51" t="s">
        <v>229</v>
      </c>
      <c r="D1" s="51" t="s">
        <v>230</v>
      </c>
      <c r="E1" s="51" t="s">
        <v>231</v>
      </c>
      <c r="F1" s="51" t="s">
        <v>232</v>
      </c>
    </row>
    <row r="2" spans="1:6" x14ac:dyDescent="0.25">
      <c r="B2" t="s">
        <v>82</v>
      </c>
      <c r="C2" t="s">
        <v>82</v>
      </c>
      <c r="D2" t="s">
        <v>82</v>
      </c>
      <c r="E2" t="s">
        <v>82</v>
      </c>
      <c r="F2" t="s">
        <v>82</v>
      </c>
    </row>
    <row r="3" spans="1:6" x14ac:dyDescent="0.25">
      <c r="A3" s="19" t="s">
        <v>83</v>
      </c>
    </row>
    <row r="4" spans="1:6" x14ac:dyDescent="0.25">
      <c r="A4" s="19" t="s">
        <v>84</v>
      </c>
    </row>
    <row r="5" spans="1:6" x14ac:dyDescent="0.25">
      <c r="A5" t="s">
        <v>85</v>
      </c>
      <c r="B5" s="33">
        <v>1641.22</v>
      </c>
      <c r="C5" s="33">
        <v>1640.54</v>
      </c>
      <c r="D5" s="33">
        <v>1639.67</v>
      </c>
      <c r="E5" s="33">
        <v>1642.33</v>
      </c>
      <c r="F5" s="33">
        <v>1641.9</v>
      </c>
    </row>
    <row r="6" spans="1:6" x14ac:dyDescent="0.25">
      <c r="A6" t="s">
        <v>86</v>
      </c>
      <c r="B6" s="33">
        <v>1641.22</v>
      </c>
      <c r="C6" s="33">
        <v>1640.54</v>
      </c>
      <c r="D6" s="33">
        <v>1639.67</v>
      </c>
      <c r="E6" s="33">
        <v>1642.33</v>
      </c>
      <c r="F6" s="33">
        <v>1641.9</v>
      </c>
    </row>
    <row r="7" spans="1:6" x14ac:dyDescent="0.25">
      <c r="A7" t="s">
        <v>87</v>
      </c>
      <c r="B7" s="33">
        <v>13470.83</v>
      </c>
      <c r="C7" s="33">
        <v>11968.87</v>
      </c>
      <c r="D7" s="33">
        <v>11848.04</v>
      </c>
      <c r="E7" s="33">
        <v>9990.01</v>
      </c>
      <c r="F7" s="33">
        <v>7758.3</v>
      </c>
    </row>
    <row r="8" spans="1:6" x14ac:dyDescent="0.25">
      <c r="A8" t="s">
        <v>88</v>
      </c>
      <c r="B8" s="33">
        <v>13470.83</v>
      </c>
      <c r="C8" s="33">
        <v>11968.87</v>
      </c>
      <c r="D8" s="33">
        <v>11848.04</v>
      </c>
      <c r="E8" s="33">
        <v>9990.01</v>
      </c>
      <c r="F8" s="33">
        <v>7758.3</v>
      </c>
    </row>
    <row r="9" spans="1:6" x14ac:dyDescent="0.25">
      <c r="A9" t="s">
        <v>89</v>
      </c>
      <c r="B9" s="33">
        <v>15112.05</v>
      </c>
      <c r="C9" s="33">
        <v>13609.41</v>
      </c>
      <c r="D9" s="33">
        <v>13487.71</v>
      </c>
      <c r="E9" s="33">
        <v>11632.34</v>
      </c>
      <c r="F9" s="33">
        <v>9400.2000000000007</v>
      </c>
    </row>
    <row r="10" spans="1:6" x14ac:dyDescent="0.25">
      <c r="A10" s="19" t="s">
        <v>90</v>
      </c>
    </row>
    <row r="11" spans="1:6" x14ac:dyDescent="0.25">
      <c r="A11" t="s">
        <v>91</v>
      </c>
      <c r="B11" s="33">
        <v>4441.46</v>
      </c>
      <c r="C11" s="33">
        <v>3136.36</v>
      </c>
      <c r="D11">
        <v>674.94</v>
      </c>
      <c r="E11">
        <v>710.51</v>
      </c>
      <c r="F11" s="33">
        <v>1333.08</v>
      </c>
    </row>
    <row r="12" spans="1:6" x14ac:dyDescent="0.25">
      <c r="A12" t="s">
        <v>92</v>
      </c>
      <c r="B12" s="33">
        <v>1104.43</v>
      </c>
      <c r="C12">
        <v>967.5</v>
      </c>
      <c r="D12">
        <v>841.95</v>
      </c>
      <c r="E12">
        <v>559.16999999999996</v>
      </c>
      <c r="F12">
        <v>325.89999999999998</v>
      </c>
    </row>
    <row r="13" spans="1:6" x14ac:dyDescent="0.25">
      <c r="A13" t="s">
        <v>93</v>
      </c>
      <c r="B13">
        <v>19.690000000000001</v>
      </c>
      <c r="C13">
        <v>24.67</v>
      </c>
      <c r="D13">
        <v>9.86</v>
      </c>
      <c r="E13">
        <v>7.35</v>
      </c>
      <c r="F13">
        <v>6.51</v>
      </c>
    </row>
    <row r="14" spans="1:6" x14ac:dyDescent="0.25">
      <c r="A14" t="s">
        <v>94</v>
      </c>
      <c r="B14">
        <v>23.81</v>
      </c>
      <c r="C14">
        <v>22.22</v>
      </c>
      <c r="D14">
        <v>29.8</v>
      </c>
      <c r="E14">
        <v>22.26</v>
      </c>
      <c r="F14">
        <v>19.899999999999999</v>
      </c>
    </row>
    <row r="15" spans="1:6" x14ac:dyDescent="0.25">
      <c r="A15" t="s">
        <v>95</v>
      </c>
      <c r="B15" s="33">
        <v>5589.39</v>
      </c>
      <c r="C15" s="33">
        <v>4150.75</v>
      </c>
      <c r="D15" s="33">
        <v>1556.55</v>
      </c>
      <c r="E15" s="33">
        <v>1299.29</v>
      </c>
      <c r="F15" s="33">
        <v>1685.39</v>
      </c>
    </row>
    <row r="16" spans="1:6" x14ac:dyDescent="0.25">
      <c r="A16" s="19" t="s">
        <v>96</v>
      </c>
    </row>
    <row r="17" spans="1:6" x14ac:dyDescent="0.25">
      <c r="A17" t="s">
        <v>97</v>
      </c>
      <c r="B17" s="33">
        <v>2563.52</v>
      </c>
      <c r="C17" s="33">
        <v>3137.26</v>
      </c>
      <c r="D17">
        <v>596.74</v>
      </c>
      <c r="E17">
        <v>199.35</v>
      </c>
      <c r="F17">
        <v>0</v>
      </c>
    </row>
    <row r="18" spans="1:6" x14ac:dyDescent="0.25">
      <c r="A18" t="s">
        <v>98</v>
      </c>
      <c r="B18" s="33">
        <v>1011.36</v>
      </c>
      <c r="C18">
        <v>900.51</v>
      </c>
      <c r="D18">
        <v>883.99</v>
      </c>
      <c r="E18">
        <v>717.68</v>
      </c>
      <c r="F18" s="33">
        <v>1265.9100000000001</v>
      </c>
    </row>
    <row r="19" spans="1:6" x14ac:dyDescent="0.25">
      <c r="A19" t="s">
        <v>99</v>
      </c>
      <c r="B19">
        <v>324.33</v>
      </c>
      <c r="C19">
        <v>142.63999999999999</v>
      </c>
      <c r="D19">
        <v>141.07</v>
      </c>
      <c r="E19">
        <v>861.78</v>
      </c>
      <c r="F19" s="33">
        <v>1199.73</v>
      </c>
    </row>
    <row r="20" spans="1:6" x14ac:dyDescent="0.25">
      <c r="A20" t="s">
        <v>100</v>
      </c>
      <c r="B20">
        <v>9.23</v>
      </c>
      <c r="C20">
        <v>8.89</v>
      </c>
      <c r="D20">
        <v>6.38</v>
      </c>
      <c r="E20">
        <v>5.87</v>
      </c>
      <c r="F20">
        <v>4.21</v>
      </c>
    </row>
    <row r="21" spans="1:6" x14ac:dyDescent="0.25">
      <c r="A21" t="s">
        <v>101</v>
      </c>
      <c r="B21" s="33">
        <v>3908.44</v>
      </c>
      <c r="C21" s="33">
        <v>4189.3</v>
      </c>
      <c r="D21" s="33">
        <v>1628.18</v>
      </c>
      <c r="E21" s="33">
        <v>1784.68</v>
      </c>
      <c r="F21" s="33">
        <v>2469.85</v>
      </c>
    </row>
    <row r="22" spans="1:6" x14ac:dyDescent="0.25">
      <c r="A22" t="s">
        <v>102</v>
      </c>
      <c r="B22" s="33">
        <v>24609.88</v>
      </c>
      <c r="C22" s="33">
        <v>21949.46</v>
      </c>
      <c r="D22" s="33">
        <v>16672.439999999999</v>
      </c>
      <c r="E22" s="33">
        <v>14716.31</v>
      </c>
      <c r="F22" s="33">
        <v>13555.44</v>
      </c>
    </row>
    <row r="23" spans="1:6" x14ac:dyDescent="0.25">
      <c r="A23" s="19" t="s">
        <v>213</v>
      </c>
      <c r="B23" s="33">
        <f>B15+B21</f>
        <v>9497.83</v>
      </c>
      <c r="C23" s="33">
        <f t="shared" ref="C23:F23" si="0">C15+C21</f>
        <v>8340.0499999999993</v>
      </c>
      <c r="D23" s="33">
        <f t="shared" si="0"/>
        <v>3184.73</v>
      </c>
      <c r="E23" s="33">
        <f t="shared" si="0"/>
        <v>3083.9700000000003</v>
      </c>
      <c r="F23" s="33">
        <f t="shared" si="0"/>
        <v>4155.24</v>
      </c>
    </row>
    <row r="24" spans="1:6" x14ac:dyDescent="0.25">
      <c r="A24" s="19" t="s">
        <v>214</v>
      </c>
      <c r="B24" s="33">
        <f>B11+B17</f>
        <v>7004.98</v>
      </c>
      <c r="C24" s="33">
        <f t="shared" ref="C24:F24" si="1">C11+C17</f>
        <v>6273.6200000000008</v>
      </c>
      <c r="D24" s="33">
        <f t="shared" si="1"/>
        <v>1271.68</v>
      </c>
      <c r="E24" s="33">
        <f t="shared" si="1"/>
        <v>909.86</v>
      </c>
      <c r="F24" s="33">
        <f t="shared" si="1"/>
        <v>1333.08</v>
      </c>
    </row>
    <row r="25" spans="1:6" x14ac:dyDescent="0.25">
      <c r="A25" s="19" t="s">
        <v>103</v>
      </c>
    </row>
    <row r="26" spans="1:6" x14ac:dyDescent="0.25">
      <c r="A26" s="19" t="s">
        <v>104</v>
      </c>
    </row>
    <row r="27" spans="1:6" x14ac:dyDescent="0.25">
      <c r="A27" t="s">
        <v>105</v>
      </c>
      <c r="B27" s="33">
        <v>3509.64</v>
      </c>
      <c r="C27" s="33">
        <v>3706.42</v>
      </c>
      <c r="D27" s="33">
        <v>3954.46</v>
      </c>
      <c r="E27" s="33">
        <v>4178.8999999999996</v>
      </c>
      <c r="F27" s="33">
        <v>4507.17</v>
      </c>
    </row>
    <row r="28" spans="1:6" x14ac:dyDescent="0.25">
      <c r="A28" t="s">
        <v>106</v>
      </c>
      <c r="B28">
        <v>1.71</v>
      </c>
      <c r="C28">
        <v>2.21</v>
      </c>
      <c r="D28">
        <v>2.2000000000000002</v>
      </c>
      <c r="E28">
        <v>1.22</v>
      </c>
      <c r="F28">
        <v>0.76</v>
      </c>
    </row>
    <row r="29" spans="1:6" x14ac:dyDescent="0.25">
      <c r="A29" t="s">
        <v>107</v>
      </c>
      <c r="B29">
        <v>17.559999999999999</v>
      </c>
      <c r="C29">
        <v>15.53</v>
      </c>
      <c r="D29">
        <v>23.44</v>
      </c>
      <c r="E29">
        <v>33.85</v>
      </c>
      <c r="F29">
        <v>108.85</v>
      </c>
    </row>
    <row r="30" spans="1:6" x14ac:dyDescent="0.25">
      <c r="A30" t="s">
        <v>108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t="s">
        <v>109</v>
      </c>
      <c r="B31" s="33">
        <v>3531.7</v>
      </c>
      <c r="C31" s="33">
        <v>3724.16</v>
      </c>
      <c r="D31" s="33">
        <v>3980.1</v>
      </c>
      <c r="E31" s="33">
        <v>4213.97</v>
      </c>
      <c r="F31" s="33">
        <v>4616.78</v>
      </c>
    </row>
    <row r="32" spans="1:6" x14ac:dyDescent="0.25">
      <c r="A32" t="s">
        <v>110</v>
      </c>
      <c r="B32" s="33">
        <v>17335.47</v>
      </c>
      <c r="C32" s="33">
        <v>14654.68</v>
      </c>
      <c r="D32" s="33">
        <v>6654.04</v>
      </c>
      <c r="E32" s="33">
        <v>7674.34</v>
      </c>
      <c r="F32" s="33">
        <v>5082.7</v>
      </c>
    </row>
    <row r="33" spans="1:9" x14ac:dyDescent="0.25">
      <c r="A33" t="s">
        <v>111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9" x14ac:dyDescent="0.25">
      <c r="A34" t="s">
        <v>112</v>
      </c>
      <c r="B34">
        <v>80.97</v>
      </c>
      <c r="C34">
        <v>79.849999999999994</v>
      </c>
      <c r="D34">
        <v>73.62</v>
      </c>
      <c r="E34">
        <v>102.53</v>
      </c>
      <c r="F34">
        <v>205.13</v>
      </c>
    </row>
    <row r="35" spans="1:9" x14ac:dyDescent="0.25">
      <c r="A35" t="s">
        <v>113</v>
      </c>
      <c r="B35" s="33">
        <v>1401.72</v>
      </c>
      <c r="C35" s="33">
        <v>1255.27</v>
      </c>
      <c r="D35" s="33">
        <v>1213.3699999999999</v>
      </c>
      <c r="E35" s="33">
        <v>1179.08</v>
      </c>
      <c r="F35" s="33">
        <v>1160.44</v>
      </c>
    </row>
    <row r="36" spans="1:9" x14ac:dyDescent="0.25">
      <c r="A36" t="s">
        <v>114</v>
      </c>
      <c r="B36" s="33">
        <v>22349.86</v>
      </c>
      <c r="C36" s="33">
        <v>19713.96</v>
      </c>
      <c r="D36" s="33">
        <v>11921.13</v>
      </c>
      <c r="E36" s="33">
        <v>13169.92</v>
      </c>
      <c r="F36" s="33">
        <v>11065.05</v>
      </c>
    </row>
    <row r="37" spans="1:9" x14ac:dyDescent="0.25">
      <c r="A37" s="19" t="s">
        <v>115</v>
      </c>
    </row>
    <row r="38" spans="1:9" x14ac:dyDescent="0.25">
      <c r="A38" t="s">
        <v>116</v>
      </c>
      <c r="B38">
        <v>77.97</v>
      </c>
      <c r="C38">
        <v>75.819999999999993</v>
      </c>
      <c r="D38">
        <v>212.6</v>
      </c>
      <c r="E38">
        <v>537.55999999999995</v>
      </c>
      <c r="F38">
        <v>334.1</v>
      </c>
    </row>
    <row r="39" spans="1:9" x14ac:dyDescent="0.25">
      <c r="A39" t="s">
        <v>117</v>
      </c>
      <c r="B39">
        <v>439.13</v>
      </c>
      <c r="C39">
        <v>781.86</v>
      </c>
      <c r="D39">
        <v>776.09</v>
      </c>
      <c r="E39">
        <v>236.34</v>
      </c>
      <c r="F39">
        <v>540.77</v>
      </c>
    </row>
    <row r="40" spans="1:9" x14ac:dyDescent="0.25">
      <c r="A40" t="s">
        <v>118</v>
      </c>
      <c r="B40">
        <v>623.75</v>
      </c>
      <c r="C40">
        <v>644.73</v>
      </c>
      <c r="D40">
        <v>300.51</v>
      </c>
      <c r="E40">
        <v>253</v>
      </c>
      <c r="F40">
        <v>797.12</v>
      </c>
    </row>
    <row r="41" spans="1:9" x14ac:dyDescent="0.25">
      <c r="A41" t="s">
        <v>119</v>
      </c>
      <c r="B41">
        <v>830.52</v>
      </c>
      <c r="C41">
        <v>435.08</v>
      </c>
      <c r="D41">
        <v>203.01</v>
      </c>
      <c r="E41">
        <v>127.33</v>
      </c>
      <c r="F41">
        <v>157.6</v>
      </c>
    </row>
    <row r="42" spans="1:9" x14ac:dyDescent="0.25">
      <c r="A42" t="s">
        <v>120</v>
      </c>
      <c r="B42">
        <v>153.97999999999999</v>
      </c>
      <c r="C42">
        <v>118.41</v>
      </c>
      <c r="D42">
        <v>869.99</v>
      </c>
      <c r="E42">
        <v>65.84</v>
      </c>
      <c r="F42">
        <v>250.83</v>
      </c>
    </row>
    <row r="43" spans="1:9" x14ac:dyDescent="0.25">
      <c r="A43" t="s">
        <v>121</v>
      </c>
      <c r="B43">
        <v>134.66999999999999</v>
      </c>
      <c r="C43">
        <v>179.6</v>
      </c>
      <c r="D43" s="33">
        <v>2389.11</v>
      </c>
      <c r="E43">
        <v>326.32</v>
      </c>
      <c r="F43">
        <v>409.97</v>
      </c>
    </row>
    <row r="44" spans="1:9" x14ac:dyDescent="0.25">
      <c r="A44" t="s">
        <v>122</v>
      </c>
      <c r="B44" s="33">
        <v>2260.02</v>
      </c>
      <c r="C44" s="33">
        <v>2235.5</v>
      </c>
      <c r="D44" s="33">
        <v>4751.3100000000004</v>
      </c>
      <c r="E44" s="33">
        <v>1546.39</v>
      </c>
      <c r="F44" s="33">
        <v>2490.39</v>
      </c>
    </row>
    <row r="45" spans="1:9" x14ac:dyDescent="0.25">
      <c r="A45" s="19" t="s">
        <v>123</v>
      </c>
      <c r="B45" s="33">
        <v>24609.88</v>
      </c>
      <c r="C45" s="33">
        <v>21949.46</v>
      </c>
      <c r="D45" s="33">
        <v>16672.439999999999</v>
      </c>
      <c r="E45" s="33">
        <v>14716.31</v>
      </c>
      <c r="F45" s="33">
        <v>13555.44</v>
      </c>
      <c r="I45" s="47"/>
    </row>
    <row r="46" spans="1:9" x14ac:dyDescent="0.25">
      <c r="A46" s="52" t="s">
        <v>226</v>
      </c>
      <c r="B46" s="33">
        <f>B45-B23</f>
        <v>15112.050000000001</v>
      </c>
      <c r="C46" s="33">
        <f t="shared" ref="C46:F46" si="2">C45-C23</f>
        <v>13609.41</v>
      </c>
      <c r="D46" s="33">
        <f t="shared" si="2"/>
        <v>13487.71</v>
      </c>
      <c r="E46" s="33">
        <f t="shared" si="2"/>
        <v>11632.34</v>
      </c>
      <c r="F46" s="33">
        <f t="shared" si="2"/>
        <v>9400.2000000000007</v>
      </c>
    </row>
    <row r="47" spans="1:9" x14ac:dyDescent="0.25">
      <c r="A47" t="s">
        <v>220</v>
      </c>
      <c r="B47" s="33">
        <f>(C40+B40)/2</f>
        <v>634.24</v>
      </c>
      <c r="C47" s="33">
        <f>(D40+C40)/2</f>
        <v>472.62</v>
      </c>
      <c r="D47" s="33">
        <f t="shared" ref="D47:E47" si="3">(E40+D40)/2</f>
        <v>276.755</v>
      </c>
      <c r="E47" s="33">
        <f t="shared" si="3"/>
        <v>525.05999999999995</v>
      </c>
      <c r="F47" s="33"/>
    </row>
    <row r="48" spans="1:9" x14ac:dyDescent="0.25">
      <c r="A48" s="19" t="s">
        <v>215</v>
      </c>
      <c r="B48" s="33">
        <f>(C45+B45)/2</f>
        <v>23279.67</v>
      </c>
      <c r="C48" s="33">
        <f>(D45+C45)/2</f>
        <v>19310.949999999997</v>
      </c>
      <c r="D48" s="33">
        <f>(E45+D45)/2</f>
        <v>15694.375</v>
      </c>
      <c r="E48" s="33">
        <f>(F45+E45)/2</f>
        <v>14135.875</v>
      </c>
      <c r="F48" s="33"/>
    </row>
    <row r="49" spans="1:6" x14ac:dyDescent="0.25">
      <c r="A49" s="19" t="s">
        <v>222</v>
      </c>
      <c r="B49" s="33">
        <f>B44-B21</f>
        <v>-1648.42</v>
      </c>
      <c r="C49" s="33">
        <f t="shared" ref="C49:F49" si="4">C44-C21</f>
        <v>-1953.8000000000002</v>
      </c>
      <c r="D49" s="33">
        <f t="shared" si="4"/>
        <v>3123.13</v>
      </c>
      <c r="E49" s="33">
        <f t="shared" si="4"/>
        <v>-238.28999999999996</v>
      </c>
      <c r="F49" s="33">
        <f t="shared" si="4"/>
        <v>20.539999999999964</v>
      </c>
    </row>
    <row r="50" spans="1:6" x14ac:dyDescent="0.25">
      <c r="A50" s="52" t="s">
        <v>223</v>
      </c>
      <c r="B50" s="33">
        <f>(C49+B49)/2</f>
        <v>-1801.1100000000001</v>
      </c>
      <c r="C50" s="33">
        <f t="shared" ref="C50:E50" si="5">(D49+C49)/2</f>
        <v>584.66499999999996</v>
      </c>
      <c r="D50" s="33">
        <f t="shared" si="5"/>
        <v>1442.42</v>
      </c>
      <c r="E50" s="33">
        <f t="shared" si="5"/>
        <v>-108.875</v>
      </c>
      <c r="F50" s="33"/>
    </row>
    <row r="51" spans="1:6" x14ac:dyDescent="0.25">
      <c r="A51" s="19" t="s">
        <v>124</v>
      </c>
    </row>
    <row r="52" spans="1:6" x14ac:dyDescent="0.25">
      <c r="A52" s="19" t="s">
        <v>125</v>
      </c>
    </row>
    <row r="53" spans="1:6" x14ac:dyDescent="0.25">
      <c r="A53" t="s">
        <v>126</v>
      </c>
      <c r="B53" s="33">
        <v>4879.29</v>
      </c>
      <c r="C53" s="33">
        <v>4025.28</v>
      </c>
      <c r="D53" s="33">
        <v>3238.52</v>
      </c>
      <c r="E53" s="33">
        <v>1284.77</v>
      </c>
      <c r="F53" s="33">
        <v>1461.88</v>
      </c>
    </row>
    <row r="54" spans="1:6" x14ac:dyDescent="0.25">
      <c r="A54" s="19" t="s">
        <v>127</v>
      </c>
    </row>
    <row r="55" spans="1:6" x14ac:dyDescent="0.25">
      <c r="A55" t="s">
        <v>128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t="s">
        <v>129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t="s">
        <v>130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t="s">
        <v>131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19" t="s">
        <v>132</v>
      </c>
    </row>
    <row r="60" spans="1:6" x14ac:dyDescent="0.25">
      <c r="A60" t="s">
        <v>133</v>
      </c>
      <c r="B60" s="33">
        <v>2167.14</v>
      </c>
      <c r="C60" s="33">
        <v>2224.2800000000002</v>
      </c>
      <c r="D60" s="33">
        <v>1350.06</v>
      </c>
      <c r="E60">
        <v>669.81</v>
      </c>
      <c r="F60" s="33">
        <v>2086.6799999999998</v>
      </c>
    </row>
    <row r="61" spans="1:6" x14ac:dyDescent="0.25">
      <c r="A61" s="19" t="s">
        <v>134</v>
      </c>
    </row>
    <row r="62" spans="1:6" x14ac:dyDescent="0.25">
      <c r="A62" t="s">
        <v>135</v>
      </c>
      <c r="B62" t="s">
        <v>136</v>
      </c>
      <c r="C62" t="s">
        <v>136</v>
      </c>
      <c r="D62" t="s">
        <v>136</v>
      </c>
      <c r="E62" t="s">
        <v>136</v>
      </c>
      <c r="F62" t="s">
        <v>136</v>
      </c>
    </row>
    <row r="63" spans="1:6" x14ac:dyDescent="0.25">
      <c r="A63" t="s">
        <v>137</v>
      </c>
    </row>
    <row r="64" spans="1:6" x14ac:dyDescent="0.25">
      <c r="A64" t="s">
        <v>138</v>
      </c>
      <c r="B64" t="s">
        <v>136</v>
      </c>
      <c r="C64" t="s">
        <v>136</v>
      </c>
      <c r="D64" t="s">
        <v>136</v>
      </c>
      <c r="E64" t="s">
        <v>136</v>
      </c>
      <c r="F64" t="s">
        <v>136</v>
      </c>
    </row>
    <row r="65" spans="1:6" x14ac:dyDescent="0.25">
      <c r="A65" t="s">
        <v>139</v>
      </c>
      <c r="B65">
        <v>1.93</v>
      </c>
      <c r="C65" t="s">
        <v>136</v>
      </c>
      <c r="D65" t="s">
        <v>136</v>
      </c>
      <c r="E65" t="s">
        <v>136</v>
      </c>
      <c r="F65" t="s">
        <v>136</v>
      </c>
    </row>
    <row r="66" spans="1:6" x14ac:dyDescent="0.25">
      <c r="A66" s="19" t="s">
        <v>140</v>
      </c>
    </row>
    <row r="67" spans="1:6" x14ac:dyDescent="0.25">
      <c r="A67" t="s">
        <v>141</v>
      </c>
      <c r="B67">
        <v>987.41</v>
      </c>
      <c r="C67">
        <v>987.41</v>
      </c>
      <c r="D67">
        <v>987.41</v>
      </c>
      <c r="E67">
        <v>987.41</v>
      </c>
      <c r="F67">
        <v>987.41</v>
      </c>
    </row>
    <row r="68" spans="1:6" x14ac:dyDescent="0.25">
      <c r="A68" s="19" t="s">
        <v>142</v>
      </c>
    </row>
    <row r="69" spans="1:6" x14ac:dyDescent="0.25">
      <c r="A69" t="s">
        <v>143</v>
      </c>
      <c r="B69" s="33">
        <v>5814.58</v>
      </c>
      <c r="C69" s="33">
        <v>4819.34</v>
      </c>
      <c r="D69" s="33">
        <v>5131.3599999999997</v>
      </c>
      <c r="E69" s="33">
        <v>3280.95</v>
      </c>
      <c r="F69" s="33">
        <v>1045.4100000000001</v>
      </c>
    </row>
    <row r="70" spans="1:6" x14ac:dyDescent="0.25">
      <c r="A70" t="s">
        <v>144</v>
      </c>
      <c r="B70" s="33">
        <v>11598.86</v>
      </c>
      <c r="C70" s="33">
        <v>9911.16</v>
      </c>
      <c r="D70" t="s">
        <v>136</v>
      </c>
      <c r="E70">
        <v>12.62</v>
      </c>
      <c r="F70">
        <v>13.18</v>
      </c>
    </row>
    <row r="71" spans="1:6" x14ac:dyDescent="0.25">
      <c r="A71" s="19" t="s">
        <v>145</v>
      </c>
    </row>
    <row r="72" spans="1:6" x14ac:dyDescent="0.25">
      <c r="A72" t="s">
        <v>146</v>
      </c>
      <c r="B72" t="s">
        <v>136</v>
      </c>
      <c r="C72" t="s">
        <v>136</v>
      </c>
      <c r="D72" t="s">
        <v>136</v>
      </c>
      <c r="E72" t="s">
        <v>136</v>
      </c>
      <c r="F72" t="s">
        <v>136</v>
      </c>
    </row>
    <row r="73" spans="1:6" x14ac:dyDescent="0.25">
      <c r="A73" t="s">
        <v>147</v>
      </c>
      <c r="B73">
        <v>77.97</v>
      </c>
      <c r="C73">
        <v>75.819999999999993</v>
      </c>
      <c r="D73">
        <v>212.6</v>
      </c>
      <c r="E73">
        <v>537.55999999999995</v>
      </c>
      <c r="F73">
        <v>334.1</v>
      </c>
    </row>
  </sheetData>
  <conditionalFormatting sqref="B5:F7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A982-9ED1-4318-9CD9-EF8E1399E79A}">
  <dimension ref="A1:F44"/>
  <sheetViews>
    <sheetView workbookViewId="0">
      <selection activeCell="C23" sqref="C23"/>
    </sheetView>
  </sheetViews>
  <sheetFormatPr defaultRowHeight="15" x14ac:dyDescent="0.25"/>
  <cols>
    <col min="1" max="1" width="55.28515625" bestFit="1" customWidth="1"/>
    <col min="3" max="6" width="9.42578125" customWidth="1"/>
  </cols>
  <sheetData>
    <row r="1" spans="1:6" x14ac:dyDescent="0.25">
      <c r="A1" s="19" t="s">
        <v>238</v>
      </c>
      <c r="B1" s="19" t="s">
        <v>151</v>
      </c>
      <c r="C1" s="51" t="s">
        <v>229</v>
      </c>
      <c r="D1" s="51" t="s">
        <v>230</v>
      </c>
      <c r="E1" s="51" t="s">
        <v>231</v>
      </c>
      <c r="F1" s="51" t="s">
        <v>232</v>
      </c>
    </row>
    <row r="2" spans="1:6" x14ac:dyDescent="0.25">
      <c r="B2" t="s">
        <v>82</v>
      </c>
      <c r="C2" t="s">
        <v>82</v>
      </c>
      <c r="D2" t="s">
        <v>82</v>
      </c>
      <c r="E2" t="s">
        <v>82</v>
      </c>
      <c r="F2" t="s">
        <v>82</v>
      </c>
    </row>
    <row r="3" spans="1:6" x14ac:dyDescent="0.25">
      <c r="A3" s="19" t="s">
        <v>152</v>
      </c>
    </row>
    <row r="4" spans="1:6" x14ac:dyDescent="0.25">
      <c r="A4" t="s">
        <v>153</v>
      </c>
      <c r="B4" s="33">
        <v>5110.1499999999996</v>
      </c>
      <c r="C4" s="33">
        <v>5728.93</v>
      </c>
      <c r="D4" s="33">
        <v>3634.29</v>
      </c>
      <c r="E4" s="33">
        <v>2883.73</v>
      </c>
      <c r="F4" s="33">
        <v>4298</v>
      </c>
    </row>
    <row r="5" spans="1:6" x14ac:dyDescent="0.25">
      <c r="A5" t="s">
        <v>154</v>
      </c>
      <c r="B5" s="33">
        <v>5110.1499999999996</v>
      </c>
      <c r="C5" s="33">
        <v>5728.93</v>
      </c>
      <c r="D5" s="33">
        <v>3634.29</v>
      </c>
      <c r="E5" s="33">
        <v>2883.73</v>
      </c>
      <c r="F5" s="33">
        <v>4298</v>
      </c>
    </row>
    <row r="6" spans="1:6" x14ac:dyDescent="0.25">
      <c r="A6" t="s">
        <v>155</v>
      </c>
      <c r="B6">
        <v>18.940000000000001</v>
      </c>
      <c r="C6">
        <v>10.3</v>
      </c>
      <c r="D6">
        <v>8.4499999999999993</v>
      </c>
      <c r="E6">
        <v>13.8</v>
      </c>
      <c r="F6">
        <v>15.99</v>
      </c>
    </row>
    <row r="7" spans="1:6" x14ac:dyDescent="0.25">
      <c r="A7" t="s">
        <v>156</v>
      </c>
      <c r="B7" s="33">
        <v>5129.09</v>
      </c>
      <c r="C7" s="33">
        <v>5739.23</v>
      </c>
      <c r="D7" s="33">
        <v>3642.74</v>
      </c>
      <c r="E7" s="33">
        <v>2897.53</v>
      </c>
      <c r="F7" s="33">
        <v>4313.99</v>
      </c>
    </row>
    <row r="8" spans="1:6" x14ac:dyDescent="0.25">
      <c r="A8" t="s">
        <v>157</v>
      </c>
      <c r="B8">
        <v>210.4</v>
      </c>
      <c r="C8">
        <v>279.85000000000002</v>
      </c>
      <c r="D8">
        <v>228.26</v>
      </c>
      <c r="E8">
        <v>62.41</v>
      </c>
      <c r="F8">
        <v>197.9</v>
      </c>
    </row>
    <row r="9" spans="1:6" x14ac:dyDescent="0.25">
      <c r="A9" t="s">
        <v>158</v>
      </c>
      <c r="B9" s="33">
        <v>5339.49</v>
      </c>
      <c r="C9" s="33">
        <v>6019.08</v>
      </c>
      <c r="D9" s="33">
        <v>3871</v>
      </c>
      <c r="E9" s="33">
        <v>2959.94</v>
      </c>
      <c r="F9" s="33">
        <v>4511.8900000000003</v>
      </c>
    </row>
    <row r="10" spans="1:6" x14ac:dyDescent="0.25">
      <c r="A10" s="19" t="s">
        <v>159</v>
      </c>
    </row>
    <row r="11" spans="1:6" x14ac:dyDescent="0.25">
      <c r="A11" t="s">
        <v>160</v>
      </c>
      <c r="B11">
        <v>117.16</v>
      </c>
      <c r="C11">
        <v>354.45</v>
      </c>
      <c r="D11">
        <v>26.11</v>
      </c>
      <c r="E11">
        <v>0</v>
      </c>
      <c r="F11">
        <v>0</v>
      </c>
    </row>
    <row r="12" spans="1:6" x14ac:dyDescent="0.25">
      <c r="A12" t="s">
        <v>161</v>
      </c>
      <c r="B12" s="33">
        <v>2730.82</v>
      </c>
      <c r="C12" s="33">
        <v>3643.63</v>
      </c>
      <c r="D12" s="33">
        <v>2041.09</v>
      </c>
      <c r="E12" s="33">
        <v>1778.14</v>
      </c>
      <c r="F12" s="33">
        <v>3074.4</v>
      </c>
    </row>
    <row r="13" spans="1:6" x14ac:dyDescent="0.25">
      <c r="A13" t="s">
        <v>162</v>
      </c>
      <c r="B13">
        <v>153.22999999999999</v>
      </c>
      <c r="C13">
        <v>134.72999999999999</v>
      </c>
      <c r="D13">
        <v>124.1</v>
      </c>
      <c r="E13">
        <v>112.32</v>
      </c>
      <c r="F13">
        <v>118.71</v>
      </c>
    </row>
    <row r="14" spans="1:6" x14ac:dyDescent="0.25">
      <c r="A14" t="s">
        <v>163</v>
      </c>
      <c r="B14">
        <v>477.87</v>
      </c>
      <c r="C14">
        <v>259.8</v>
      </c>
      <c r="D14">
        <v>127</v>
      </c>
      <c r="E14">
        <v>210.1</v>
      </c>
      <c r="F14">
        <v>321.95</v>
      </c>
    </row>
    <row r="15" spans="1:6" x14ac:dyDescent="0.25">
      <c r="A15" t="s">
        <v>164</v>
      </c>
      <c r="B15">
        <v>269.54000000000002</v>
      </c>
      <c r="C15">
        <v>317.42</v>
      </c>
      <c r="D15">
        <v>327.69</v>
      </c>
      <c r="E15">
        <v>358.07</v>
      </c>
      <c r="F15">
        <v>369.27</v>
      </c>
    </row>
    <row r="16" spans="1:6" x14ac:dyDescent="0.25">
      <c r="A16" t="s">
        <v>165</v>
      </c>
      <c r="B16">
        <v>409.56</v>
      </c>
      <c r="C16">
        <v>399.44</v>
      </c>
      <c r="D16">
        <v>406.93</v>
      </c>
      <c r="E16">
        <v>193.57</v>
      </c>
      <c r="F16">
        <v>226.71</v>
      </c>
    </row>
    <row r="17" spans="1:6" x14ac:dyDescent="0.25">
      <c r="A17" s="19" t="s">
        <v>166</v>
      </c>
      <c r="B17" s="33">
        <v>4158.18</v>
      </c>
      <c r="C17" s="33">
        <v>5109.47</v>
      </c>
      <c r="D17" s="33">
        <v>3052.92</v>
      </c>
      <c r="E17" s="33">
        <v>2652.2</v>
      </c>
      <c r="F17" s="33">
        <v>4111.04</v>
      </c>
    </row>
    <row r="18" spans="1:6" x14ac:dyDescent="0.25">
      <c r="A18" s="19" t="s">
        <v>216</v>
      </c>
      <c r="B18" s="33">
        <f>B9-B17</f>
        <v>1181.3099999999995</v>
      </c>
      <c r="C18" s="33">
        <f t="shared" ref="C18:E18" si="0">C9-C17</f>
        <v>909.60999999999967</v>
      </c>
      <c r="D18" s="33">
        <f t="shared" si="0"/>
        <v>818.07999999999993</v>
      </c>
      <c r="E18" s="33">
        <f t="shared" si="0"/>
        <v>307.74000000000024</v>
      </c>
      <c r="F18" s="33">
        <f>F9-F17</f>
        <v>400.85000000000036</v>
      </c>
    </row>
    <row r="19" spans="1:6" x14ac:dyDescent="0.25">
      <c r="A19" s="19" t="s">
        <v>218</v>
      </c>
      <c r="B19" s="33">
        <v>1235.97</v>
      </c>
      <c r="C19" s="33">
        <v>1646.64</v>
      </c>
      <c r="D19" s="33">
        <v>2440.86</v>
      </c>
      <c r="E19" s="33">
        <v>1569.62</v>
      </c>
      <c r="F19" s="33">
        <v>1848</v>
      </c>
    </row>
    <row r="20" spans="1:6" x14ac:dyDescent="0.25">
      <c r="B20" s="32">
        <v>45352</v>
      </c>
      <c r="C20" s="32">
        <v>44986</v>
      </c>
      <c r="D20" s="32">
        <v>44621</v>
      </c>
      <c r="E20" s="32">
        <v>44256</v>
      </c>
      <c r="F20" s="32">
        <v>43891</v>
      </c>
    </row>
    <row r="21" spans="1:6" x14ac:dyDescent="0.25">
      <c r="B21" t="s">
        <v>82</v>
      </c>
      <c r="C21" t="s">
        <v>82</v>
      </c>
      <c r="D21" t="s">
        <v>82</v>
      </c>
      <c r="E21" t="s">
        <v>82</v>
      </c>
      <c r="F21" t="s">
        <v>82</v>
      </c>
    </row>
    <row r="22" spans="1:6" x14ac:dyDescent="0.25">
      <c r="A22" t="s">
        <v>167</v>
      </c>
      <c r="B22" s="33">
        <v>1181.31</v>
      </c>
      <c r="C22">
        <v>909.61</v>
      </c>
      <c r="D22">
        <v>818.08</v>
      </c>
      <c r="E22">
        <v>307.74</v>
      </c>
      <c r="F22">
        <v>400.85</v>
      </c>
    </row>
    <row r="23" spans="1:6" x14ac:dyDescent="0.25">
      <c r="A23" t="s">
        <v>168</v>
      </c>
      <c r="B23">
        <v>0</v>
      </c>
      <c r="C23">
        <v>120</v>
      </c>
      <c r="D23">
        <v>0</v>
      </c>
      <c r="E23">
        <v>0</v>
      </c>
      <c r="F23">
        <v>23.02</v>
      </c>
    </row>
    <row r="24" spans="1:6" x14ac:dyDescent="0.25">
      <c r="A24" t="s">
        <v>169</v>
      </c>
      <c r="B24" s="33">
        <v>1181.31</v>
      </c>
      <c r="C24" s="33">
        <v>1029.6099999999999</v>
      </c>
      <c r="D24">
        <v>818.08</v>
      </c>
      <c r="E24">
        <v>307.74</v>
      </c>
      <c r="F24">
        <v>423.87</v>
      </c>
    </row>
    <row r="25" spans="1:6" x14ac:dyDescent="0.25">
      <c r="A25" s="19" t="s">
        <v>170</v>
      </c>
    </row>
    <row r="26" spans="1:6" x14ac:dyDescent="0.25">
      <c r="A26" t="s">
        <v>171</v>
      </c>
      <c r="B26">
        <v>209.99</v>
      </c>
      <c r="C26">
        <v>156.69999999999999</v>
      </c>
      <c r="D26">
        <v>174.87</v>
      </c>
      <c r="E26">
        <v>40.15</v>
      </c>
      <c r="F26">
        <v>5.5</v>
      </c>
    </row>
    <row r="27" spans="1:6" x14ac:dyDescent="0.25">
      <c r="A27" t="s">
        <v>172</v>
      </c>
      <c r="B27">
        <v>21.1</v>
      </c>
      <c r="C27">
        <v>161.88999999999999</v>
      </c>
      <c r="D27">
        <v>73.39</v>
      </c>
      <c r="E27">
        <v>81.41</v>
      </c>
      <c r="F27">
        <v>-79.44</v>
      </c>
    </row>
    <row r="28" spans="1:6" x14ac:dyDescent="0.25">
      <c r="A28" t="s">
        <v>173</v>
      </c>
      <c r="B28">
        <v>231.09</v>
      </c>
      <c r="C28">
        <v>318.58999999999997</v>
      </c>
      <c r="D28">
        <v>248.26</v>
      </c>
      <c r="E28">
        <v>121.56</v>
      </c>
      <c r="F28">
        <v>-73.94</v>
      </c>
    </row>
    <row r="29" spans="1:6" x14ac:dyDescent="0.25">
      <c r="A29" t="s">
        <v>174</v>
      </c>
      <c r="B29">
        <v>950.22</v>
      </c>
      <c r="C29">
        <v>711.02</v>
      </c>
      <c r="D29">
        <v>569.82000000000005</v>
      </c>
      <c r="E29">
        <v>186.18</v>
      </c>
      <c r="F29">
        <v>497.81</v>
      </c>
    </row>
    <row r="30" spans="1:6" x14ac:dyDescent="0.25">
      <c r="A30" t="s">
        <v>175</v>
      </c>
      <c r="B30">
        <v>950.22</v>
      </c>
      <c r="C30">
        <v>711.02</v>
      </c>
      <c r="D30">
        <v>569.82000000000005</v>
      </c>
      <c r="E30">
        <v>186.18</v>
      </c>
      <c r="F30">
        <v>497.81</v>
      </c>
    </row>
    <row r="31" spans="1:6" x14ac:dyDescent="0.25">
      <c r="A31" s="19" t="s">
        <v>176</v>
      </c>
      <c r="B31">
        <v>950.22</v>
      </c>
      <c r="C31">
        <v>711.02</v>
      </c>
      <c r="D31">
        <v>569.82000000000005</v>
      </c>
      <c r="E31">
        <v>186.18</v>
      </c>
      <c r="F31">
        <v>497.81</v>
      </c>
    </row>
    <row r="32" spans="1:6" x14ac:dyDescent="0.25">
      <c r="B32" s="32">
        <v>45352</v>
      </c>
      <c r="C32" s="32">
        <v>44986</v>
      </c>
      <c r="D32" s="32">
        <v>44621</v>
      </c>
      <c r="E32" s="32">
        <v>44256</v>
      </c>
      <c r="F32" s="32">
        <v>43891</v>
      </c>
    </row>
    <row r="33" spans="1:6" x14ac:dyDescent="0.25">
      <c r="A33" s="19"/>
      <c r="B33" t="s">
        <v>82</v>
      </c>
      <c r="C33" t="s">
        <v>82</v>
      </c>
      <c r="D33" t="s">
        <v>82</v>
      </c>
      <c r="E33" t="s">
        <v>82</v>
      </c>
      <c r="F33" t="s">
        <v>82</v>
      </c>
    </row>
    <row r="34" spans="1:6" x14ac:dyDescent="0.25">
      <c r="A34" s="19" t="s">
        <v>124</v>
      </c>
    </row>
    <row r="35" spans="1:6" x14ac:dyDescent="0.25">
      <c r="A35" s="19" t="s">
        <v>177</v>
      </c>
    </row>
    <row r="36" spans="1:6" x14ac:dyDescent="0.25">
      <c r="A36" t="s">
        <v>178</v>
      </c>
      <c r="B36">
        <v>5.79</v>
      </c>
      <c r="C36">
        <v>4.33</v>
      </c>
      <c r="D36">
        <v>3.47</v>
      </c>
      <c r="E36">
        <v>1.1299999999999999</v>
      </c>
      <c r="F36">
        <v>3.03</v>
      </c>
    </row>
    <row r="37" spans="1:6" x14ac:dyDescent="0.25">
      <c r="A37" t="s">
        <v>179</v>
      </c>
      <c r="B37">
        <v>5.78</v>
      </c>
      <c r="C37">
        <v>4.33</v>
      </c>
      <c r="D37">
        <v>3.46</v>
      </c>
      <c r="E37">
        <v>1.1299999999999999</v>
      </c>
      <c r="F37">
        <v>3.03</v>
      </c>
    </row>
    <row r="38" spans="1:6" x14ac:dyDescent="0.25">
      <c r="A38" t="s">
        <v>180</v>
      </c>
    </row>
    <row r="39" spans="1:6" x14ac:dyDescent="0.25">
      <c r="A39" s="19" t="s">
        <v>181</v>
      </c>
    </row>
    <row r="40" spans="1:6" x14ac:dyDescent="0.25">
      <c r="A40" s="19" t="s">
        <v>182</v>
      </c>
    </row>
    <row r="41" spans="1:6" x14ac:dyDescent="0.25">
      <c r="A41" t="s">
        <v>183</v>
      </c>
      <c r="B41">
        <v>328.94</v>
      </c>
      <c r="C41">
        <v>328.81</v>
      </c>
      <c r="D41">
        <v>328.66</v>
      </c>
      <c r="E41">
        <v>164.28</v>
      </c>
      <c r="F41">
        <v>164.12</v>
      </c>
    </row>
    <row r="42" spans="1:6" x14ac:dyDescent="0.25">
      <c r="A42" t="s">
        <v>184</v>
      </c>
      <c r="B42">
        <v>0</v>
      </c>
      <c r="C42">
        <v>0</v>
      </c>
      <c r="D42">
        <v>0</v>
      </c>
      <c r="E42">
        <v>0</v>
      </c>
      <c r="F42">
        <v>33.74</v>
      </c>
    </row>
    <row r="43" spans="1:6" x14ac:dyDescent="0.25">
      <c r="A43" t="s">
        <v>185</v>
      </c>
      <c r="B43">
        <v>20</v>
      </c>
      <c r="C43">
        <v>20</v>
      </c>
      <c r="D43">
        <v>20</v>
      </c>
      <c r="E43">
        <v>20</v>
      </c>
      <c r="F43">
        <v>10</v>
      </c>
    </row>
    <row r="44" spans="1:6" x14ac:dyDescent="0.25">
      <c r="A44" t="s">
        <v>221</v>
      </c>
      <c r="B44" s="33">
        <v>10421.530000000001</v>
      </c>
      <c r="C44" s="33">
        <v>6077.58</v>
      </c>
      <c r="D44" s="33">
        <v>3722.97</v>
      </c>
    </row>
  </sheetData>
  <conditionalFormatting sqref="B4:F4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0F02B-30B8-4808-98F5-DBFCF272A82C}">
  <dimension ref="A1:R44"/>
  <sheetViews>
    <sheetView topLeftCell="D1" workbookViewId="0">
      <selection activeCell="N36" sqref="N36"/>
    </sheetView>
  </sheetViews>
  <sheetFormatPr defaultRowHeight="15" x14ac:dyDescent="0.25"/>
  <cols>
    <col min="1" max="1" width="55.28515625" bestFit="1" customWidth="1"/>
    <col min="2" max="2" width="15.42578125" customWidth="1"/>
    <col min="3" max="5" width="13.42578125" bestFit="1" customWidth="1"/>
    <col min="6" max="6" width="11.7109375" bestFit="1" customWidth="1"/>
    <col min="7" max="7" width="12" customWidth="1"/>
    <col min="8" max="8" width="55.28515625" bestFit="1" customWidth="1"/>
    <col min="10" max="10" width="10.140625" bestFit="1" customWidth="1"/>
    <col min="11" max="13" width="10.42578125" bestFit="1" customWidth="1"/>
  </cols>
  <sheetData>
    <row r="1" spans="1:18" x14ac:dyDescent="0.25">
      <c r="A1" s="56" t="s">
        <v>42</v>
      </c>
      <c r="B1" s="56" t="s">
        <v>233</v>
      </c>
      <c r="C1" s="56" t="s">
        <v>234</v>
      </c>
      <c r="D1" s="56" t="s">
        <v>235</v>
      </c>
      <c r="E1" s="56" t="s">
        <v>236</v>
      </c>
      <c r="F1" s="55" t="s">
        <v>237</v>
      </c>
      <c r="H1" s="59" t="s">
        <v>187</v>
      </c>
      <c r="I1" s="59"/>
      <c r="J1" s="59"/>
      <c r="K1" s="59"/>
      <c r="L1" s="59"/>
      <c r="M1" s="59"/>
    </row>
    <row r="2" spans="1:18" x14ac:dyDescent="0.25">
      <c r="A2" s="31" t="s">
        <v>148</v>
      </c>
      <c r="B2" s="31" t="s">
        <v>149</v>
      </c>
      <c r="C2" s="31"/>
      <c r="D2" s="31"/>
      <c r="E2" s="31"/>
      <c r="F2" s="30"/>
    </row>
    <row r="3" spans="1:18" x14ac:dyDescent="0.25">
      <c r="A3" s="31" t="s">
        <v>186</v>
      </c>
      <c r="B3" s="31" t="s">
        <v>150</v>
      </c>
      <c r="C3" s="31"/>
      <c r="D3" s="31"/>
      <c r="E3" s="31"/>
      <c r="F3" s="30"/>
      <c r="I3" s="38"/>
    </row>
    <row r="4" spans="1:18" x14ac:dyDescent="0.25">
      <c r="A4" s="30"/>
      <c r="B4" s="30" t="s">
        <v>151</v>
      </c>
      <c r="C4" s="37">
        <v>44986</v>
      </c>
      <c r="D4" s="37">
        <v>44621</v>
      </c>
      <c r="E4" s="37">
        <v>44256</v>
      </c>
      <c r="F4" s="37">
        <v>43891</v>
      </c>
    </row>
    <row r="5" spans="1:18" x14ac:dyDescent="0.25">
      <c r="A5" s="30"/>
      <c r="B5" s="30" t="s">
        <v>82</v>
      </c>
      <c r="C5" s="30" t="s">
        <v>82</v>
      </c>
      <c r="D5" s="30" t="s">
        <v>82</v>
      </c>
      <c r="E5" s="30" t="s">
        <v>82</v>
      </c>
      <c r="F5" s="30" t="s">
        <v>82</v>
      </c>
      <c r="H5" s="40" t="str">
        <f>A6</f>
        <v>INCOME</v>
      </c>
      <c r="I5" s="25"/>
      <c r="J5" s="40">
        <v>2021</v>
      </c>
      <c r="K5" s="40">
        <v>2022</v>
      </c>
      <c r="L5" s="40">
        <v>2023</v>
      </c>
      <c r="M5" s="40">
        <v>2024</v>
      </c>
      <c r="Q5" s="21">
        <v>2021</v>
      </c>
      <c r="R5" s="11">
        <f>AVERAGE(J6:J43)</f>
        <v>-0.23199538972634035</v>
      </c>
    </row>
    <row r="6" spans="1:18" x14ac:dyDescent="0.25">
      <c r="A6" s="17" t="s">
        <v>152</v>
      </c>
      <c r="B6" s="17"/>
      <c r="C6" s="17"/>
      <c r="D6" s="17"/>
      <c r="E6" s="17"/>
      <c r="F6" s="17"/>
      <c r="H6" s="25" t="str">
        <f>A7</f>
        <v>Revenue From Operations [Gross]</v>
      </c>
      <c r="I6" s="25"/>
      <c r="J6" s="86">
        <f>(E7-F7)/F7</f>
        <v>-0.32905304792926943</v>
      </c>
      <c r="K6" s="86">
        <f>(D7-F7)/F7</f>
        <v>-0.15442298743601676</v>
      </c>
      <c r="L6" s="86">
        <f>(C7-F7)/F7</f>
        <v>0.33292926942764084</v>
      </c>
      <c r="M6" s="86">
        <f>(B7-F7)/F7</f>
        <v>0.1889599813866914</v>
      </c>
      <c r="Q6" s="21">
        <v>2022</v>
      </c>
      <c r="R6" s="11">
        <f>AVERAGE(K6:K43)</f>
        <v>0.92303644139558583</v>
      </c>
    </row>
    <row r="7" spans="1:18" x14ac:dyDescent="0.25">
      <c r="A7" s="17" t="s">
        <v>153</v>
      </c>
      <c r="B7" s="36">
        <v>5110.1499999999996</v>
      </c>
      <c r="C7" s="36">
        <v>5728.93</v>
      </c>
      <c r="D7" s="36">
        <v>3634.29</v>
      </c>
      <c r="E7" s="36">
        <v>2883.73</v>
      </c>
      <c r="F7" s="36">
        <v>4298</v>
      </c>
      <c r="H7" s="25" t="str">
        <f>A8</f>
        <v>Revenue From Operations [Net]</v>
      </c>
      <c r="I7" s="25"/>
      <c r="J7" s="86">
        <f>(E8-F8)/F8</f>
        <v>-0.32905304792926943</v>
      </c>
      <c r="K7" s="86">
        <f>(D8-F8)/F8</f>
        <v>-0.15442298743601676</v>
      </c>
      <c r="L7" s="86">
        <f>(C8-F8)/F8</f>
        <v>0.33292926942764084</v>
      </c>
      <c r="M7" s="86">
        <f>(B8-F8)/F8</f>
        <v>0.1889599813866914</v>
      </c>
      <c r="Q7" s="21">
        <v>2023</v>
      </c>
      <c r="R7" s="11">
        <f>AVERAGE(L6:L43)</f>
        <v>1.1297026876676033</v>
      </c>
    </row>
    <row r="8" spans="1:18" x14ac:dyDescent="0.25">
      <c r="A8" s="17" t="s">
        <v>154</v>
      </c>
      <c r="B8" s="36">
        <v>5110.1499999999996</v>
      </c>
      <c r="C8" s="36">
        <v>5728.93</v>
      </c>
      <c r="D8" s="36">
        <v>3634.29</v>
      </c>
      <c r="E8" s="36">
        <v>2883.73</v>
      </c>
      <c r="F8" s="36">
        <v>4298</v>
      </c>
      <c r="H8" s="25" t="str">
        <f>A9</f>
        <v>Other Operating Revenues</v>
      </c>
      <c r="I8" s="25"/>
      <c r="J8" s="86">
        <f>(E9-F9)/F9</f>
        <v>-0.1369606003752345</v>
      </c>
      <c r="K8" s="86">
        <f>(D9-F9)/F9</f>
        <v>-0.47154471544715454</v>
      </c>
      <c r="L8" s="86">
        <f>(C9-F9)/F9</f>
        <v>-0.35584740462789238</v>
      </c>
      <c r="M8" s="86">
        <f>(B9-F9)/F9</f>
        <v>0.18449030644152603</v>
      </c>
      <c r="Q8" s="21">
        <v>2024</v>
      </c>
      <c r="R8" s="11">
        <f>AVERAGE(M6:M43)</f>
        <v>1.5124259663048267</v>
      </c>
    </row>
    <row r="9" spans="1:18" x14ac:dyDescent="0.25">
      <c r="A9" s="17" t="s">
        <v>155</v>
      </c>
      <c r="B9" s="17">
        <v>18.940000000000001</v>
      </c>
      <c r="C9" s="17">
        <v>10.3</v>
      </c>
      <c r="D9" s="17">
        <v>8.4499999999999993</v>
      </c>
      <c r="E9" s="17">
        <v>13.8</v>
      </c>
      <c r="F9" s="17">
        <v>15.99</v>
      </c>
      <c r="H9" s="25" t="str">
        <f>A10</f>
        <v>Total Operating Revenues</v>
      </c>
      <c r="I9" s="25"/>
      <c r="J9" s="86">
        <f>(E10-F10)/F10</f>
        <v>-0.32834104854206886</v>
      </c>
      <c r="K9" s="86">
        <f>(D10-F10)/F10</f>
        <v>-0.15559841353364287</v>
      </c>
      <c r="L9" s="86">
        <f>(C10-F10)/F10</f>
        <v>0.33037628738128738</v>
      </c>
      <c r="M9" s="86">
        <f>(B10-F10)/F10</f>
        <v>0.18894341433336664</v>
      </c>
    </row>
    <row r="10" spans="1:18" x14ac:dyDescent="0.25">
      <c r="A10" s="17" t="s">
        <v>156</v>
      </c>
      <c r="B10" s="36">
        <v>5129.09</v>
      </c>
      <c r="C10" s="36">
        <v>5739.23</v>
      </c>
      <c r="D10" s="36">
        <v>3642.74</v>
      </c>
      <c r="E10" s="36">
        <v>2897.53</v>
      </c>
      <c r="F10" s="36">
        <v>4313.99</v>
      </c>
      <c r="H10" s="25" t="str">
        <f>A11</f>
        <v>Other Income</v>
      </c>
      <c r="I10" s="25"/>
      <c r="J10" s="86">
        <f>(E11-F11)/F11</f>
        <v>-0.68463870641738256</v>
      </c>
      <c r="K10" s="86">
        <f>(D11-F11)/F11</f>
        <v>0.15341081354219294</v>
      </c>
      <c r="L10" s="86">
        <f>(C11-F11)/F11</f>
        <v>0.41409802930773126</v>
      </c>
      <c r="M10" s="86">
        <f>(B11-F11)/F11</f>
        <v>6.3163213744315314E-2</v>
      </c>
    </row>
    <row r="11" spans="1:18" x14ac:dyDescent="0.25">
      <c r="A11" s="17" t="s">
        <v>157</v>
      </c>
      <c r="B11" s="17">
        <v>210.4</v>
      </c>
      <c r="C11" s="17">
        <v>279.85000000000002</v>
      </c>
      <c r="D11" s="17">
        <v>228.26</v>
      </c>
      <c r="E11" s="17">
        <v>62.41</v>
      </c>
      <c r="F11" s="17">
        <v>197.9</v>
      </c>
      <c r="H11" s="25" t="str">
        <f>A12</f>
        <v>Total Revenue</v>
      </c>
      <c r="I11" s="25"/>
      <c r="J11" s="86">
        <f>(E12-F12)/F12</f>
        <v>-0.34396893541287582</v>
      </c>
      <c r="K11" s="86">
        <f>(D12-F12)/F12</f>
        <v>-0.14204468637311643</v>
      </c>
      <c r="L11" s="86">
        <f>(C12-F12)/F12</f>
        <v>0.33404848079186317</v>
      </c>
      <c r="M11" s="86">
        <f>(B12-F12)/F12</f>
        <v>0.18342645764856844</v>
      </c>
    </row>
    <row r="12" spans="1:18" x14ac:dyDescent="0.25">
      <c r="A12" s="17" t="s">
        <v>158</v>
      </c>
      <c r="B12" s="36">
        <v>5339.49</v>
      </c>
      <c r="C12" s="36">
        <v>6019.08</v>
      </c>
      <c r="D12" s="36">
        <v>3871</v>
      </c>
      <c r="E12" s="36">
        <v>2959.94</v>
      </c>
      <c r="F12" s="36">
        <v>4511.8900000000003</v>
      </c>
      <c r="H12" s="25" t="str">
        <f>A13</f>
        <v>EXPENSES</v>
      </c>
      <c r="I12" s="25"/>
      <c r="J12" s="86"/>
      <c r="K12" s="86"/>
      <c r="L12" s="86"/>
      <c r="M12" s="86"/>
    </row>
    <row r="13" spans="1:18" x14ac:dyDescent="0.25">
      <c r="A13" s="17" t="s">
        <v>159</v>
      </c>
      <c r="B13" s="17"/>
      <c r="C13" s="17"/>
      <c r="D13" s="17"/>
      <c r="E13" s="17"/>
      <c r="F13" s="17"/>
      <c r="H13" s="25" t="str">
        <f>A14</f>
        <v>Purchase Of Stock-In Trade</v>
      </c>
      <c r="I13" s="25"/>
      <c r="J13" s="86"/>
      <c r="K13" s="86"/>
      <c r="L13" s="86"/>
      <c r="M13" s="86"/>
    </row>
    <row r="14" spans="1:18" x14ac:dyDescent="0.25">
      <c r="A14" s="17" t="s">
        <v>160</v>
      </c>
      <c r="B14" s="17">
        <v>117.16</v>
      </c>
      <c r="C14" s="17">
        <v>354.45</v>
      </c>
      <c r="D14" s="17">
        <v>26.11</v>
      </c>
      <c r="E14" s="17">
        <v>0</v>
      </c>
      <c r="F14" s="17">
        <v>0</v>
      </c>
      <c r="H14" s="25" t="str">
        <f>A15</f>
        <v>Cost Of Fuel</v>
      </c>
      <c r="I14" s="25"/>
      <c r="J14" s="86">
        <f>(E15-F15)/F15</f>
        <v>-0.42163023679417122</v>
      </c>
      <c r="K14" s="86">
        <f>(D15-F15)/F15</f>
        <v>-0.33610135310954986</v>
      </c>
      <c r="L14" s="86">
        <f>(C15-F15)/F15</f>
        <v>0.18515157429091855</v>
      </c>
      <c r="M14" s="86">
        <f>(B15-F15)/F15</f>
        <v>-0.11175513921415559</v>
      </c>
    </row>
    <row r="15" spans="1:18" x14ac:dyDescent="0.25">
      <c r="A15" s="17" t="s">
        <v>161</v>
      </c>
      <c r="B15" s="36">
        <v>2730.82</v>
      </c>
      <c r="C15" s="36">
        <v>3643.63</v>
      </c>
      <c r="D15" s="36">
        <v>2041.09</v>
      </c>
      <c r="E15" s="36">
        <v>1778.14</v>
      </c>
      <c r="F15" s="36">
        <v>3074.4</v>
      </c>
      <c r="H15" s="25" t="str">
        <f>A16</f>
        <v>Employee Benefit Expenses</v>
      </c>
      <c r="I15" s="25"/>
      <c r="J15" s="86">
        <f>(E16-F16)/F16</f>
        <v>-5.3828658074298721E-2</v>
      </c>
      <c r="K15" s="86">
        <f>(D16-F16)/F16</f>
        <v>4.5404767921826308E-2</v>
      </c>
      <c r="L15" s="86">
        <f>(C16-F16)/F16</f>
        <v>0.13495072024260801</v>
      </c>
      <c r="M15" s="86">
        <f>(B16-F16)/F16</f>
        <v>0.29079268806334763</v>
      </c>
    </row>
    <row r="16" spans="1:18" x14ac:dyDescent="0.25">
      <c r="A16" s="17" t="s">
        <v>162</v>
      </c>
      <c r="B16" s="17">
        <v>153.22999999999999</v>
      </c>
      <c r="C16" s="17">
        <v>134.72999999999999</v>
      </c>
      <c r="D16" s="17">
        <v>124.1</v>
      </c>
      <c r="E16" s="17">
        <v>112.32</v>
      </c>
      <c r="F16" s="17">
        <v>118.71</v>
      </c>
      <c r="H16" s="25" t="str">
        <f>A17</f>
        <v>Finance Costs</v>
      </c>
      <c r="I16" s="25"/>
      <c r="J16" s="86">
        <f>(E17-F17)/F17</f>
        <v>-0.3474141947507377</v>
      </c>
      <c r="K16" s="86">
        <f>(D17-F17)/F17</f>
        <v>-0.60552880882124549</v>
      </c>
      <c r="L16" s="86">
        <f>(C17-F17)/F17</f>
        <v>-0.19304239788787073</v>
      </c>
      <c r="M16" s="86">
        <f>(B17-F17)/F17</f>
        <v>0.48429880416213705</v>
      </c>
    </row>
    <row r="17" spans="1:13" x14ac:dyDescent="0.25">
      <c r="A17" s="17" t="s">
        <v>163</v>
      </c>
      <c r="B17" s="17">
        <v>477.87</v>
      </c>
      <c r="C17" s="17">
        <v>259.8</v>
      </c>
      <c r="D17" s="17">
        <v>127</v>
      </c>
      <c r="E17" s="17">
        <v>210.1</v>
      </c>
      <c r="F17" s="17">
        <v>321.95</v>
      </c>
      <c r="H17" s="25" t="str">
        <f>A18</f>
        <v>Depreciation And Amortisation Expenses</v>
      </c>
      <c r="I17" s="25"/>
      <c r="J17" s="86">
        <f>(E18-F18)/F18</f>
        <v>-3.0330110759065155E-2</v>
      </c>
      <c r="K17" s="86">
        <f>(D18-F18)/F18</f>
        <v>-0.11260053619302945</v>
      </c>
      <c r="L17" s="86">
        <f>(C18-F18)/F18</f>
        <v>-0.14041216454085079</v>
      </c>
      <c r="M17" s="86">
        <f>(B18-F18)/F18</f>
        <v>-0.27007338803585446</v>
      </c>
    </row>
    <row r="18" spans="1:13" x14ac:dyDescent="0.25">
      <c r="A18" s="17" t="s">
        <v>164</v>
      </c>
      <c r="B18" s="17">
        <v>269.54000000000002</v>
      </c>
      <c r="C18" s="17">
        <v>317.42</v>
      </c>
      <c r="D18" s="17">
        <v>327.69</v>
      </c>
      <c r="E18" s="17">
        <v>358.07</v>
      </c>
      <c r="F18" s="17">
        <v>369.27</v>
      </c>
      <c r="H18" s="25" t="str">
        <f>A19</f>
        <v>Other Expenses</v>
      </c>
      <c r="I18" s="25"/>
      <c r="J18" s="86">
        <f>(E19-F19)/F19</f>
        <v>-0.14617793657094974</v>
      </c>
      <c r="K18" s="86">
        <f>(D19-F19)/F19</f>
        <v>0.79493626218517044</v>
      </c>
      <c r="L18" s="86">
        <f>(C19-F19)/F19</f>
        <v>0.76189846058841681</v>
      </c>
      <c r="M18" s="86">
        <f>(B19-F19)/F19</f>
        <v>0.80653698557628684</v>
      </c>
    </row>
    <row r="19" spans="1:13" x14ac:dyDescent="0.25">
      <c r="A19" s="17" t="s">
        <v>165</v>
      </c>
      <c r="B19" s="17">
        <v>409.56</v>
      </c>
      <c r="C19" s="17">
        <v>399.44</v>
      </c>
      <c r="D19" s="17">
        <v>406.93</v>
      </c>
      <c r="E19" s="17">
        <v>193.57</v>
      </c>
      <c r="F19" s="17">
        <v>226.71</v>
      </c>
      <c r="H19" s="25" t="str">
        <f>A20</f>
        <v>Total Expenses</v>
      </c>
      <c r="I19" s="25"/>
      <c r="J19" s="86">
        <f>(E20-F20)/F20</f>
        <v>-0.35485911107651597</v>
      </c>
      <c r="K19" s="86">
        <f>(D20-F20)/F20</f>
        <v>-0.25738499260527747</v>
      </c>
      <c r="L19" s="86">
        <f>(C20-F20)/F20</f>
        <v>0.2428655522690123</v>
      </c>
      <c r="M19" s="86">
        <f>(B20-F20)/F20</f>
        <v>1.146668482914307E-2</v>
      </c>
    </row>
    <row r="20" spans="1:13" x14ac:dyDescent="0.25">
      <c r="A20" s="17" t="s">
        <v>166</v>
      </c>
      <c r="B20" s="36">
        <v>4158.18</v>
      </c>
      <c r="C20" s="36">
        <v>5109.47</v>
      </c>
      <c r="D20" s="36">
        <v>3052.92</v>
      </c>
      <c r="E20" s="36">
        <v>2652.2</v>
      </c>
      <c r="F20" s="36">
        <v>4111.04</v>
      </c>
      <c r="H20" s="25">
        <f>A21</f>
        <v>0</v>
      </c>
      <c r="I20" s="25"/>
      <c r="J20" s="86">
        <f>(E21-F21)/F21</f>
        <v>8.316055683397508E-3</v>
      </c>
      <c r="K20" s="86">
        <f>(D21-F21)/F21</f>
        <v>1.6632111366795016E-2</v>
      </c>
      <c r="L20" s="86">
        <f>(C21-F21)/F21</f>
        <v>2.4948167050192524E-2</v>
      </c>
      <c r="M20" s="86">
        <f>(B21-F21)/F21</f>
        <v>3.3287006447791118E-2</v>
      </c>
    </row>
    <row r="21" spans="1:13" x14ac:dyDescent="0.25">
      <c r="A21" s="17"/>
      <c r="B21" s="35">
        <v>45352</v>
      </c>
      <c r="C21" s="35">
        <v>44986</v>
      </c>
      <c r="D21" s="35">
        <v>44621</v>
      </c>
      <c r="E21" s="35">
        <v>44256</v>
      </c>
      <c r="F21" s="35">
        <v>43891</v>
      </c>
      <c r="H21" s="25">
        <f>A22</f>
        <v>0</v>
      </c>
      <c r="I21" s="25"/>
      <c r="J21" s="86"/>
      <c r="K21" s="86"/>
      <c r="L21" s="86"/>
      <c r="M21" s="86"/>
    </row>
    <row r="22" spans="1:13" x14ac:dyDescent="0.25">
      <c r="A22" s="17"/>
      <c r="B22" s="17" t="s">
        <v>82</v>
      </c>
      <c r="C22" s="17" t="s">
        <v>82</v>
      </c>
      <c r="D22" s="17" t="s">
        <v>82</v>
      </c>
      <c r="E22" s="17" t="s">
        <v>82</v>
      </c>
      <c r="F22" s="17" t="s">
        <v>82</v>
      </c>
      <c r="H22" s="25" t="str">
        <f>A23</f>
        <v>Profit/Loss Before Exceptional, ExtraOrdinary Items And Tax</v>
      </c>
      <c r="I22" s="25"/>
      <c r="J22" s="86">
        <f>(E23-F23)/F23</f>
        <v>-0.23228140202070602</v>
      </c>
      <c r="K22" s="86">
        <f>(D23-F23)/F23</f>
        <v>1.040863165772733</v>
      </c>
      <c r="L22" s="86">
        <f>(C23-F23)/F23</f>
        <v>1.2692029437445427</v>
      </c>
      <c r="M22" s="86">
        <f>(B23-F23)/F23</f>
        <v>1.9470125982287636</v>
      </c>
    </row>
    <row r="23" spans="1:13" x14ac:dyDescent="0.25">
      <c r="A23" s="17" t="s">
        <v>167</v>
      </c>
      <c r="B23" s="36">
        <v>1181.31</v>
      </c>
      <c r="C23" s="17">
        <v>909.61</v>
      </c>
      <c r="D23" s="17">
        <v>818.08</v>
      </c>
      <c r="E23" s="17">
        <v>307.74</v>
      </c>
      <c r="F23" s="17">
        <v>400.85</v>
      </c>
      <c r="H23" s="25" t="str">
        <f>A24</f>
        <v>Exceptional Items</v>
      </c>
      <c r="I23" s="25"/>
      <c r="J23" s="86">
        <f>(E24-F24)/F24</f>
        <v>-1</v>
      </c>
      <c r="K23" s="86">
        <f>(D24-F24)/F24</f>
        <v>-1</v>
      </c>
      <c r="L23" s="86">
        <f>(C24-F24)/F24</f>
        <v>4.2128583840139013</v>
      </c>
      <c r="M23" s="86">
        <f>(B24-F24)/F24</f>
        <v>-1</v>
      </c>
    </row>
    <row r="24" spans="1:13" x14ac:dyDescent="0.25">
      <c r="A24" s="17" t="s">
        <v>168</v>
      </c>
      <c r="B24" s="17">
        <v>0</v>
      </c>
      <c r="C24" s="17">
        <v>120</v>
      </c>
      <c r="D24" s="17">
        <v>0</v>
      </c>
      <c r="E24" s="17">
        <v>0</v>
      </c>
      <c r="F24" s="17">
        <v>23.02</v>
      </c>
      <c r="H24" s="25" t="str">
        <f>A25</f>
        <v>Profit/Loss Before Tax</v>
      </c>
      <c r="I24" s="25"/>
      <c r="J24" s="86">
        <f>(E25-F25)/F25</f>
        <v>-0.27397551135961495</v>
      </c>
      <c r="K24" s="86">
        <f>(D25-F25)/F25</f>
        <v>0.93002571543161827</v>
      </c>
      <c r="L24" s="86">
        <f>(C25-F25)/F25</f>
        <v>1.4290702337980983</v>
      </c>
      <c r="M24" s="86">
        <f>(B25-F25)/F25</f>
        <v>1.7869629839337531</v>
      </c>
    </row>
    <row r="25" spans="1:13" x14ac:dyDescent="0.25">
      <c r="A25" s="17" t="s">
        <v>169</v>
      </c>
      <c r="B25" s="36">
        <v>1181.31</v>
      </c>
      <c r="C25" s="36">
        <v>1029.6099999999999</v>
      </c>
      <c r="D25" s="17">
        <v>818.08</v>
      </c>
      <c r="E25" s="17">
        <v>307.74</v>
      </c>
      <c r="F25" s="17">
        <v>423.87</v>
      </c>
      <c r="H25" s="25" t="str">
        <f>A26</f>
        <v>Tax Expenses-Continued Operations</v>
      </c>
      <c r="I25" s="25"/>
      <c r="J25" s="86"/>
      <c r="K25" s="86"/>
      <c r="L25" s="86"/>
      <c r="M25" s="86"/>
    </row>
    <row r="26" spans="1:13" x14ac:dyDescent="0.25">
      <c r="A26" s="17" t="s">
        <v>170</v>
      </c>
      <c r="B26" s="17"/>
      <c r="C26" s="17"/>
      <c r="D26" s="17"/>
      <c r="E26" s="17"/>
      <c r="F26" s="17"/>
      <c r="H26" s="25" t="str">
        <f>A27</f>
        <v>Current Tax</v>
      </c>
      <c r="I26" s="25"/>
      <c r="J26" s="86">
        <f>(E27-F27)/F27</f>
        <v>6.3</v>
      </c>
      <c r="K26" s="86">
        <f>(D27-F27)/F27</f>
        <v>30.794545454545457</v>
      </c>
      <c r="L26" s="86">
        <f>(C27-F27)/F27</f>
        <v>27.490909090909089</v>
      </c>
      <c r="M26" s="86">
        <f>(B27-F27)/F27</f>
        <v>37.18</v>
      </c>
    </row>
    <row r="27" spans="1:13" x14ac:dyDescent="0.25">
      <c r="A27" s="17" t="s">
        <v>171</v>
      </c>
      <c r="B27" s="17">
        <v>209.99</v>
      </c>
      <c r="C27" s="17">
        <v>156.69999999999999</v>
      </c>
      <c r="D27" s="17">
        <v>174.87</v>
      </c>
      <c r="E27" s="17">
        <v>40.15</v>
      </c>
      <c r="F27" s="17">
        <v>5.5</v>
      </c>
      <c r="H27" s="25" t="str">
        <f>A28</f>
        <v>Deferred Tax</v>
      </c>
      <c r="I27" s="25"/>
      <c r="J27" s="86">
        <f>(E28-F28)/F28</f>
        <v>-2.0247985901309162</v>
      </c>
      <c r="K27" s="86">
        <f>(D28-F28)/F28</f>
        <v>-1.9238418932527692</v>
      </c>
      <c r="L27" s="86">
        <f>(C28-F28)/F28</f>
        <v>-3.0378902316213492</v>
      </c>
      <c r="M27" s="86">
        <f>(B28-F28)/F28</f>
        <v>-1.2656092648539778</v>
      </c>
    </row>
    <row r="28" spans="1:13" x14ac:dyDescent="0.25">
      <c r="A28" s="17" t="s">
        <v>172</v>
      </c>
      <c r="B28" s="17">
        <v>21.1</v>
      </c>
      <c r="C28" s="17">
        <v>161.88999999999999</v>
      </c>
      <c r="D28" s="17">
        <v>73.39</v>
      </c>
      <c r="E28" s="17">
        <v>81.41</v>
      </c>
      <c r="F28" s="17">
        <v>-79.44</v>
      </c>
      <c r="H28" s="25" t="str">
        <f>A29</f>
        <v>Total Tax Expenses</v>
      </c>
      <c r="I28" s="25"/>
      <c r="J28" s="86">
        <f>(E29-F29)/F29</f>
        <v>-2.644035704625372</v>
      </c>
      <c r="K28" s="86">
        <f>(D29-F29)/F29</f>
        <v>-4.3575872328915333</v>
      </c>
      <c r="L28" s="86">
        <f>(C29-F29)/F29</f>
        <v>-5.3087638625912899</v>
      </c>
      <c r="M28" s="86">
        <f>(B29-F29)/F29</f>
        <v>-4.1253719231809569</v>
      </c>
    </row>
    <row r="29" spans="1:13" x14ac:dyDescent="0.25">
      <c r="A29" s="17" t="s">
        <v>173</v>
      </c>
      <c r="B29" s="17">
        <v>231.09</v>
      </c>
      <c r="C29" s="17">
        <v>318.58999999999997</v>
      </c>
      <c r="D29" s="17">
        <v>248.26</v>
      </c>
      <c r="E29" s="17">
        <v>121.56</v>
      </c>
      <c r="F29" s="17">
        <v>-73.94</v>
      </c>
      <c r="H29" s="25" t="str">
        <f>A30</f>
        <v>Profit/Loss After Tax And Before ExtraOrdinary Items</v>
      </c>
      <c r="I29" s="25"/>
      <c r="J29" s="86">
        <f>(E30-F30)/F30</f>
        <v>-0.62600188827062531</v>
      </c>
      <c r="K29" s="86">
        <f>(D30-F30)/F30</f>
        <v>0.14465358269219189</v>
      </c>
      <c r="L29" s="86">
        <f>(C30-F30)/F30</f>
        <v>0.42829593620055839</v>
      </c>
      <c r="M29" s="86">
        <f>(B30-F30)/F30</f>
        <v>0.90880054639320229</v>
      </c>
    </row>
    <row r="30" spans="1:13" x14ac:dyDescent="0.25">
      <c r="A30" s="17" t="s">
        <v>174</v>
      </c>
      <c r="B30" s="17">
        <v>950.22</v>
      </c>
      <c r="C30" s="17">
        <v>711.02</v>
      </c>
      <c r="D30" s="17">
        <v>569.82000000000005</v>
      </c>
      <c r="E30" s="17">
        <v>186.18</v>
      </c>
      <c r="F30" s="17">
        <v>497.81</v>
      </c>
      <c r="H30" s="25" t="str">
        <f>A31</f>
        <v>Profit/Loss From Continuing Operations</v>
      </c>
      <c r="I30" s="25"/>
      <c r="J30" s="86">
        <f>(E31-F31)/F31</f>
        <v>-0.62600188827062531</v>
      </c>
      <c r="K30" s="86">
        <f>(D31-F31)/F31</f>
        <v>0.14465358269219189</v>
      </c>
      <c r="L30" s="86">
        <f>(C31-F31)/F31</f>
        <v>0.42829593620055839</v>
      </c>
      <c r="M30" s="86">
        <f>(B31-F31)/F31</f>
        <v>0.90880054639320229</v>
      </c>
    </row>
    <row r="31" spans="1:13" x14ac:dyDescent="0.25">
      <c r="A31" s="17" t="s">
        <v>175</v>
      </c>
      <c r="B31" s="17">
        <v>950.22</v>
      </c>
      <c r="C31" s="17">
        <v>711.02</v>
      </c>
      <c r="D31" s="17">
        <v>569.82000000000005</v>
      </c>
      <c r="E31" s="17">
        <v>186.18</v>
      </c>
      <c r="F31" s="17">
        <v>497.81</v>
      </c>
      <c r="H31" s="25" t="str">
        <f>A32</f>
        <v>Profit/Loss For The Period</v>
      </c>
      <c r="I31" s="25"/>
      <c r="J31" s="86">
        <f>(E32-F32)/F32</f>
        <v>-0.62600188827062531</v>
      </c>
      <c r="K31" s="86">
        <f>(D32-F32)/F32</f>
        <v>0.14465358269219189</v>
      </c>
      <c r="L31" s="86">
        <f>(C32-F32)/F32</f>
        <v>0.42829593620055839</v>
      </c>
      <c r="M31" s="86">
        <f>(B32-F32)/F32</f>
        <v>0.90880054639320229</v>
      </c>
    </row>
    <row r="32" spans="1:13" x14ac:dyDescent="0.25">
      <c r="A32" s="17" t="s">
        <v>176</v>
      </c>
      <c r="B32" s="17">
        <v>950.22</v>
      </c>
      <c r="C32" s="17">
        <v>711.02</v>
      </c>
      <c r="D32" s="17">
        <v>569.82000000000005</v>
      </c>
      <c r="E32" s="17">
        <v>186.18</v>
      </c>
      <c r="F32" s="17">
        <v>497.81</v>
      </c>
      <c r="H32" s="25">
        <f>A33</f>
        <v>0</v>
      </c>
      <c r="I32" s="25"/>
      <c r="J32" s="86">
        <f>(E33-F33)/F33</f>
        <v>8.316055683397508E-3</v>
      </c>
      <c r="K32" s="86">
        <f>(D33-F33)/F33</f>
        <v>1.6632111366795016E-2</v>
      </c>
      <c r="L32" s="86">
        <f>(C33-F33)/F33</f>
        <v>2.4948167050192524E-2</v>
      </c>
      <c r="M32" s="86">
        <f>(B33-F33)/F33</f>
        <v>3.3287006447791118E-2</v>
      </c>
    </row>
    <row r="33" spans="1:13" x14ac:dyDescent="0.25">
      <c r="A33" s="17"/>
      <c r="B33" s="35">
        <v>45352</v>
      </c>
      <c r="C33" s="35">
        <v>44986</v>
      </c>
      <c r="D33" s="35">
        <v>44621</v>
      </c>
      <c r="E33" s="35">
        <v>44256</v>
      </c>
      <c r="F33" s="35">
        <v>43891</v>
      </c>
      <c r="H33" s="25">
        <f>A34</f>
        <v>0</v>
      </c>
      <c r="I33" s="25"/>
      <c r="J33" s="86"/>
      <c r="K33" s="86"/>
      <c r="L33" s="86"/>
      <c r="M33" s="86"/>
    </row>
    <row r="34" spans="1:13" x14ac:dyDescent="0.25">
      <c r="A34" s="17"/>
      <c r="B34" s="17" t="s">
        <v>82</v>
      </c>
      <c r="C34" s="17" t="s">
        <v>82</v>
      </c>
      <c r="D34" s="17" t="s">
        <v>82</v>
      </c>
      <c r="E34" s="17" t="s">
        <v>82</v>
      </c>
      <c r="F34" s="17" t="s">
        <v>82</v>
      </c>
      <c r="H34" s="25" t="str">
        <f>A35</f>
        <v>OTHER ADDITIONAL INFORMATION</v>
      </c>
      <c r="I34" s="25"/>
      <c r="J34" s="86"/>
      <c r="K34" s="86"/>
      <c r="L34" s="86"/>
      <c r="M34" s="86"/>
    </row>
    <row r="35" spans="1:13" x14ac:dyDescent="0.25">
      <c r="A35" s="17" t="s">
        <v>124</v>
      </c>
      <c r="B35" s="17"/>
      <c r="C35" s="17"/>
      <c r="D35" s="17"/>
      <c r="E35" s="17"/>
      <c r="F35" s="17"/>
      <c r="H35" s="25" t="str">
        <f>A36</f>
        <v>EARNINGS PER SHARE</v>
      </c>
      <c r="I35" s="25"/>
      <c r="J35" s="86"/>
      <c r="K35" s="86"/>
      <c r="L35" s="86"/>
      <c r="M35" s="86"/>
    </row>
    <row r="36" spans="1:13" x14ac:dyDescent="0.25">
      <c r="A36" s="17" t="s">
        <v>177</v>
      </c>
      <c r="B36" s="17"/>
      <c r="C36" s="17"/>
      <c r="D36" s="17"/>
      <c r="E36" s="17"/>
      <c r="F36" s="17"/>
      <c r="H36" s="25" t="str">
        <f>A37</f>
        <v>Basic EPS (Rs.)</v>
      </c>
      <c r="I36" s="25"/>
      <c r="J36" s="86">
        <f>(E37-F37)/F37</f>
        <v>-0.6270627062706271</v>
      </c>
      <c r="K36" s="86">
        <f>(D37-F37)/F37</f>
        <v>0.14521452145214536</v>
      </c>
      <c r="L36" s="86">
        <f>(C37-F37)/F37</f>
        <v>0.42904290429042918</v>
      </c>
      <c r="M36" s="86">
        <f>(B37-F37)/F37</f>
        <v>0.91089108910891103</v>
      </c>
    </row>
    <row r="37" spans="1:13" x14ac:dyDescent="0.25">
      <c r="A37" s="17" t="s">
        <v>178</v>
      </c>
      <c r="B37" s="17">
        <v>5.79</v>
      </c>
      <c r="C37" s="17">
        <v>4.33</v>
      </c>
      <c r="D37" s="17">
        <v>3.47</v>
      </c>
      <c r="E37" s="17">
        <v>1.1299999999999999</v>
      </c>
      <c r="F37" s="17">
        <v>3.03</v>
      </c>
      <c r="H37" s="25" t="str">
        <f>A38</f>
        <v>Diluted EPS (Rs.)</v>
      </c>
      <c r="I37" s="25"/>
      <c r="J37" s="86">
        <f>(E38-F38)/F38</f>
        <v>-0.6270627062706271</v>
      </c>
      <c r="K37" s="86">
        <f>(D38-F38)/F38</f>
        <v>0.14191419141914197</v>
      </c>
      <c r="L37" s="86">
        <f>(C38-F38)/F38</f>
        <v>0.42904290429042918</v>
      </c>
      <c r="M37" s="86">
        <f>(B38-F38)/F38</f>
        <v>0.9075907590759078</v>
      </c>
    </row>
    <row r="38" spans="1:13" x14ac:dyDescent="0.25">
      <c r="A38" s="17" t="s">
        <v>179</v>
      </c>
      <c r="B38" s="17">
        <v>5.78</v>
      </c>
      <c r="C38" s="17">
        <v>4.33</v>
      </c>
      <c r="D38" s="17">
        <v>3.46</v>
      </c>
      <c r="E38" s="17">
        <v>1.1299999999999999</v>
      </c>
      <c r="F38" s="17">
        <v>3.03</v>
      </c>
      <c r="H38" s="25" t="str">
        <f>A39</f>
        <v>VALUE OF IMPORTED AND INDIGENIOUS RAW MATERIALS</v>
      </c>
      <c r="I38" s="25"/>
      <c r="J38" s="86"/>
      <c r="K38" s="86"/>
      <c r="L38" s="86"/>
      <c r="M38" s="86"/>
    </row>
    <row r="39" spans="1:13" x14ac:dyDescent="0.25">
      <c r="A39" s="17" t="s">
        <v>180</v>
      </c>
      <c r="B39" s="17"/>
      <c r="C39" s="17"/>
      <c r="D39" s="17"/>
      <c r="E39" s="17"/>
      <c r="F39" s="17"/>
      <c r="H39" s="25" t="str">
        <f>A40</f>
        <v>STORES, SPARES AND LOOSE TOOLS</v>
      </c>
      <c r="I39" s="25"/>
      <c r="J39" s="86"/>
      <c r="K39" s="86"/>
      <c r="L39" s="86"/>
      <c r="M39" s="86"/>
    </row>
    <row r="40" spans="1:13" x14ac:dyDescent="0.25">
      <c r="A40" s="17" t="s">
        <v>181</v>
      </c>
      <c r="B40" s="17"/>
      <c r="C40" s="17"/>
      <c r="D40" s="17"/>
      <c r="E40" s="17"/>
      <c r="F40" s="17"/>
      <c r="H40" s="25" t="str">
        <f>A41</f>
        <v>DIVIDEND AND DIVIDEND PERCENTAGE</v>
      </c>
      <c r="I40" s="25"/>
      <c r="J40" s="86"/>
      <c r="K40" s="86"/>
      <c r="L40" s="86"/>
      <c r="M40" s="86"/>
    </row>
    <row r="41" spans="1:13" x14ac:dyDescent="0.25">
      <c r="A41" s="17" t="s">
        <v>182</v>
      </c>
      <c r="B41" s="17"/>
      <c r="C41" s="17"/>
      <c r="D41" s="17"/>
      <c r="E41" s="17"/>
      <c r="F41" s="17"/>
      <c r="H41" s="25" t="str">
        <f>A42</f>
        <v>Equity Share Dividend</v>
      </c>
      <c r="I41" s="25"/>
      <c r="J41" s="86">
        <f>(E42-F42)/F42</f>
        <v>9.7489641725564578E-4</v>
      </c>
      <c r="K41" s="86">
        <f>(D42-F42)/F42</f>
        <v>1.0025591030952963</v>
      </c>
      <c r="L41" s="86">
        <f>(C42-F42)/F42</f>
        <v>1.0034730684864732</v>
      </c>
      <c r="M41" s="86">
        <f>(B42-F42)/F42</f>
        <v>1.0042651718254936</v>
      </c>
    </row>
    <row r="42" spans="1:13" x14ac:dyDescent="0.25">
      <c r="A42" s="17" t="s">
        <v>183</v>
      </c>
      <c r="B42" s="17">
        <v>328.94</v>
      </c>
      <c r="C42" s="17">
        <v>328.81</v>
      </c>
      <c r="D42" s="17">
        <v>328.66</v>
      </c>
      <c r="E42" s="17">
        <v>164.28</v>
      </c>
      <c r="F42" s="17">
        <v>164.12</v>
      </c>
      <c r="H42" s="25" t="str">
        <f>A43</f>
        <v>Tax On Dividend</v>
      </c>
      <c r="I42" s="25"/>
      <c r="J42" s="86">
        <f>(E43-F43)/F43</f>
        <v>-1</v>
      </c>
      <c r="K42" s="86">
        <f>(D43-F43)/F43</f>
        <v>-1</v>
      </c>
      <c r="L42" s="86">
        <f>(C43-F43)/F43</f>
        <v>-1</v>
      </c>
      <c r="M42" s="86">
        <f>(B43-F43)/F43</f>
        <v>-1</v>
      </c>
    </row>
    <row r="43" spans="1:13" x14ac:dyDescent="0.25">
      <c r="A43" s="17" t="s">
        <v>184</v>
      </c>
      <c r="B43" s="17">
        <v>0</v>
      </c>
      <c r="C43" s="17">
        <v>0</v>
      </c>
      <c r="D43" s="17">
        <v>0</v>
      </c>
      <c r="E43" s="17">
        <v>0</v>
      </c>
      <c r="F43" s="17">
        <v>33.74</v>
      </c>
      <c r="H43" s="25" t="str">
        <f>A44</f>
        <v>Equity Dividend Rate (%)</v>
      </c>
      <c r="I43" s="25"/>
      <c r="J43" s="86">
        <f>(E44-F44)/F44</f>
        <v>1</v>
      </c>
      <c r="K43" s="86">
        <f>(D44-F44)/F44</f>
        <v>1</v>
      </c>
      <c r="L43" s="86">
        <f>(C44-F44)/F44</f>
        <v>1</v>
      </c>
      <c r="M43" s="86">
        <f>(B44-F44)/F44</f>
        <v>1</v>
      </c>
    </row>
    <row r="44" spans="1:13" x14ac:dyDescent="0.25">
      <c r="A44" s="17" t="s">
        <v>185</v>
      </c>
      <c r="B44" s="17">
        <v>20</v>
      </c>
      <c r="C44" s="17">
        <v>20</v>
      </c>
      <c r="D44" s="17">
        <v>20</v>
      </c>
      <c r="E44" s="17">
        <v>20</v>
      </c>
      <c r="F44" s="17">
        <v>10</v>
      </c>
    </row>
  </sheetData>
  <mergeCells count="1">
    <mergeCell ref="H1:M1"/>
  </mergeCells>
  <conditionalFormatting sqref="J6:M11">
    <cfRule type="colorScale" priority="8">
      <colorScale>
        <cfvo type="min"/>
        <cfvo type="max"/>
        <color rgb="FFFCFCFF"/>
        <color rgb="FF63BE7B"/>
      </colorScale>
    </cfRule>
  </conditionalFormatting>
  <conditionalFormatting sqref="J14:M20">
    <cfRule type="colorScale" priority="7">
      <colorScale>
        <cfvo type="min"/>
        <cfvo type="max"/>
        <color rgb="FFFCFCFF"/>
        <color rgb="FF63BE7B"/>
      </colorScale>
    </cfRule>
  </conditionalFormatting>
  <conditionalFormatting sqref="J22:M24">
    <cfRule type="colorScale" priority="4">
      <colorScale>
        <cfvo type="min"/>
        <cfvo type="max"/>
        <color rgb="FFFCFCFF"/>
        <color rgb="FF63BE7B"/>
      </colorScale>
    </cfRule>
  </conditionalFormatting>
  <conditionalFormatting sqref="J26:M32">
    <cfRule type="colorScale" priority="3">
      <colorScale>
        <cfvo type="min"/>
        <cfvo type="max"/>
        <color rgb="FFFCFCFF"/>
        <color rgb="FF63BE7B"/>
      </colorScale>
    </cfRule>
  </conditionalFormatting>
  <conditionalFormatting sqref="J36:M37">
    <cfRule type="colorScale" priority="2">
      <colorScale>
        <cfvo type="min"/>
        <cfvo type="max"/>
        <color rgb="FFFCFCFF"/>
        <color rgb="FF63BE7B"/>
      </colorScale>
    </cfRule>
  </conditionalFormatting>
  <conditionalFormatting sqref="J41:M4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2E48-06DD-4760-889C-ABE69A34F376}">
  <dimension ref="A1:T66"/>
  <sheetViews>
    <sheetView topLeftCell="F1" workbookViewId="0">
      <selection activeCell="Q45" sqref="Q45"/>
    </sheetView>
  </sheetViews>
  <sheetFormatPr defaultRowHeight="15" x14ac:dyDescent="0.25"/>
  <cols>
    <col min="1" max="1" width="50.85546875" bestFit="1" customWidth="1"/>
    <col min="2" max="6" width="11.85546875" bestFit="1" customWidth="1"/>
    <col min="9" max="9" width="50.85546875" bestFit="1" customWidth="1"/>
    <col min="14" max="15" width="10.140625" bestFit="1" customWidth="1"/>
    <col min="20" max="20" width="11.140625" bestFit="1" customWidth="1"/>
  </cols>
  <sheetData>
    <row r="1" spans="1:20" x14ac:dyDescent="0.25">
      <c r="A1" s="82" t="s">
        <v>81</v>
      </c>
      <c r="B1" s="83" t="s">
        <v>228</v>
      </c>
      <c r="C1" s="83" t="s">
        <v>229</v>
      </c>
      <c r="D1" s="83" t="s">
        <v>230</v>
      </c>
      <c r="E1" s="83" t="s">
        <v>231</v>
      </c>
      <c r="F1" s="83" t="s">
        <v>232</v>
      </c>
      <c r="J1" s="59" t="s">
        <v>188</v>
      </c>
      <c r="K1" s="59"/>
      <c r="L1" s="59"/>
      <c r="M1" s="59"/>
      <c r="N1" s="59"/>
      <c r="O1" s="59"/>
    </row>
    <row r="2" spans="1:20" x14ac:dyDescent="0.25">
      <c r="A2" s="31"/>
      <c r="B2" s="31" t="s">
        <v>82</v>
      </c>
      <c r="C2" s="31" t="s">
        <v>82</v>
      </c>
      <c r="D2" s="31" t="s">
        <v>82</v>
      </c>
      <c r="E2" s="31" t="s">
        <v>82</v>
      </c>
      <c r="F2" s="31" t="s">
        <v>82</v>
      </c>
    </row>
    <row r="3" spans="1:20" x14ac:dyDescent="0.25">
      <c r="A3" s="17" t="s">
        <v>83</v>
      </c>
      <c r="B3" s="17"/>
      <c r="C3" s="17"/>
      <c r="D3" s="17"/>
      <c r="E3" s="17"/>
      <c r="F3" s="17"/>
      <c r="H3" s="39"/>
      <c r="I3" s="39"/>
    </row>
    <row r="4" spans="1:20" x14ac:dyDescent="0.25">
      <c r="A4" s="17" t="s">
        <v>84</v>
      </c>
      <c r="B4" s="17"/>
      <c r="C4" s="17"/>
      <c r="D4" s="17"/>
      <c r="E4" s="17"/>
      <c r="F4" s="17"/>
      <c r="H4" s="25"/>
      <c r="I4" s="84" t="s">
        <v>84</v>
      </c>
      <c r="J4" s="25"/>
      <c r="K4" s="25"/>
      <c r="L4" s="40">
        <v>2021</v>
      </c>
      <c r="M4" s="40">
        <v>2022</v>
      </c>
      <c r="N4" s="40">
        <v>2023</v>
      </c>
      <c r="O4" s="40">
        <v>2024</v>
      </c>
    </row>
    <row r="5" spans="1:20" x14ac:dyDescent="0.25">
      <c r="A5" s="17" t="s">
        <v>85</v>
      </c>
      <c r="B5" s="36">
        <v>1641.22</v>
      </c>
      <c r="C5" s="36">
        <v>1640.54</v>
      </c>
      <c r="D5" s="36">
        <v>1639.67</v>
      </c>
      <c r="E5" s="36">
        <v>1642.33</v>
      </c>
      <c r="F5" s="36">
        <v>1641.9</v>
      </c>
      <c r="H5" s="25"/>
      <c r="I5" s="3" t="s">
        <v>85</v>
      </c>
      <c r="J5" s="25"/>
      <c r="K5" s="25"/>
      <c r="L5" s="87">
        <f>(E5-F5)/F5</f>
        <v>2.6189171082272749E-4</v>
      </c>
      <c r="M5" s="87">
        <f>(D5-F5)/F5</f>
        <v>-1.3581825933369986E-3</v>
      </c>
      <c r="N5" s="87">
        <f>(C5-F5)/F5</f>
        <v>-8.2830866678855431E-4</v>
      </c>
      <c r="O5" s="87">
        <f>(B5-F5)/F5</f>
        <v>-4.1415433339427716E-4</v>
      </c>
      <c r="R5" s="21">
        <v>2021</v>
      </c>
      <c r="S5" s="12">
        <f>AVERAGE(L5:L66)</f>
        <v>1.031524393027055E-2</v>
      </c>
    </row>
    <row r="6" spans="1:20" x14ac:dyDescent="0.25">
      <c r="A6" s="17" t="s">
        <v>86</v>
      </c>
      <c r="B6" s="36">
        <v>1641.22</v>
      </c>
      <c r="C6" s="36">
        <v>1640.54</v>
      </c>
      <c r="D6" s="36">
        <v>1639.67</v>
      </c>
      <c r="E6" s="36">
        <v>1642.33</v>
      </c>
      <c r="F6" s="36">
        <v>1641.9</v>
      </c>
      <c r="H6" s="25"/>
      <c r="I6" s="3" t="s">
        <v>86</v>
      </c>
      <c r="J6" s="25"/>
      <c r="K6" s="25"/>
      <c r="L6" s="87">
        <f>(E6-F6)/F6</f>
        <v>2.6189171082272749E-4</v>
      </c>
      <c r="M6" s="87">
        <f>(D6-F6)/F6</f>
        <v>-1.3581825933369986E-3</v>
      </c>
      <c r="N6" s="87">
        <f>(C6-F6)/F6</f>
        <v>-8.2830866678855431E-4</v>
      </c>
      <c r="O6" s="87">
        <f>(B6-F6)/F6</f>
        <v>-4.1415433339427716E-4</v>
      </c>
      <c r="R6" s="21">
        <v>2022</v>
      </c>
      <c r="S6" s="12">
        <f>AVERAGE(M5:M66)</f>
        <v>0.44306576592427388</v>
      </c>
    </row>
    <row r="7" spans="1:20" x14ac:dyDescent="0.25">
      <c r="A7" s="17" t="s">
        <v>87</v>
      </c>
      <c r="B7" s="36">
        <v>13470.83</v>
      </c>
      <c r="C7" s="36">
        <v>11968.87</v>
      </c>
      <c r="D7" s="36">
        <v>11848.04</v>
      </c>
      <c r="E7" s="36">
        <v>9990.01</v>
      </c>
      <c r="F7" s="36">
        <v>7758.3</v>
      </c>
      <c r="H7" s="25"/>
      <c r="I7" s="3" t="s">
        <v>87</v>
      </c>
      <c r="J7" s="25"/>
      <c r="K7" s="25"/>
      <c r="L7" s="87">
        <f>(E7-F7)/F7</f>
        <v>0.28765451194204916</v>
      </c>
      <c r="M7" s="87">
        <f>(D7-F7)/F7</f>
        <v>0.52714383305621082</v>
      </c>
      <c r="N7" s="87">
        <f>(C7-F7)/F7</f>
        <v>0.54271812123790009</v>
      </c>
      <c r="O7" s="87">
        <f>(B7-F7)/F7</f>
        <v>0.73631207867702975</v>
      </c>
      <c r="R7" s="21">
        <v>2023</v>
      </c>
      <c r="S7" s="12">
        <f>AVERAGE(N5:N66)</f>
        <v>20.800138516846122</v>
      </c>
      <c r="T7" s="34"/>
    </row>
    <row r="8" spans="1:20" x14ac:dyDescent="0.25">
      <c r="A8" s="17" t="s">
        <v>88</v>
      </c>
      <c r="B8" s="36">
        <v>13470.83</v>
      </c>
      <c r="C8" s="36">
        <v>11968.87</v>
      </c>
      <c r="D8" s="36">
        <v>11848.04</v>
      </c>
      <c r="E8" s="36">
        <v>9990.01</v>
      </c>
      <c r="F8" s="36">
        <v>7758.3</v>
      </c>
      <c r="H8" s="25"/>
      <c r="I8" s="3" t="s">
        <v>88</v>
      </c>
      <c r="J8" s="25"/>
      <c r="K8" s="25"/>
      <c r="L8" s="87">
        <f>(E8-F8)/F8</f>
        <v>0.28765451194204916</v>
      </c>
      <c r="M8" s="87">
        <f>(D8-F8)/F8</f>
        <v>0.52714383305621082</v>
      </c>
      <c r="N8" s="87">
        <f>(C8-F8)/F8</f>
        <v>0.54271812123790009</v>
      </c>
      <c r="O8" s="87">
        <f>(B8-F8)/F8</f>
        <v>0.73631207867702975</v>
      </c>
      <c r="R8" s="21">
        <v>2024</v>
      </c>
      <c r="S8" s="12">
        <f>AVERAGE(O5:O66)</f>
        <v>24.431211815303779</v>
      </c>
    </row>
    <row r="9" spans="1:20" x14ac:dyDescent="0.25">
      <c r="A9" s="17" t="s">
        <v>89</v>
      </c>
      <c r="B9" s="36">
        <v>15112.05</v>
      </c>
      <c r="C9" s="36">
        <v>13609.41</v>
      </c>
      <c r="D9" s="36">
        <v>13487.71</v>
      </c>
      <c r="E9" s="36">
        <v>11632.34</v>
      </c>
      <c r="F9" s="36">
        <v>9400.2000000000007</v>
      </c>
      <c r="H9" s="25"/>
      <c r="I9" s="3" t="s">
        <v>89</v>
      </c>
      <c r="J9" s="25"/>
      <c r="K9" s="25"/>
      <c r="L9" s="87">
        <f>(E9-F9)/F9</f>
        <v>0.23745664985851356</v>
      </c>
      <c r="M9" s="87">
        <f>(D9-F9)/F9</f>
        <v>0.43483223761196549</v>
      </c>
      <c r="N9" s="87">
        <f>(C9-F9)/F9</f>
        <v>0.44777877066445382</v>
      </c>
      <c r="O9" s="87">
        <f>(B9-F9)/F9</f>
        <v>0.6076306887087507</v>
      </c>
    </row>
    <row r="10" spans="1:20" x14ac:dyDescent="0.25">
      <c r="A10" s="17" t="s">
        <v>90</v>
      </c>
      <c r="B10" s="17"/>
      <c r="C10" s="17"/>
      <c r="D10" s="17"/>
      <c r="E10" s="17"/>
      <c r="F10" s="17"/>
      <c r="H10" s="25"/>
      <c r="I10" s="3" t="s">
        <v>90</v>
      </c>
      <c r="J10" s="25"/>
      <c r="K10" s="25"/>
      <c r="L10" s="87"/>
      <c r="M10" s="87"/>
      <c r="N10" s="87"/>
      <c r="O10" s="87"/>
    </row>
    <row r="11" spans="1:20" x14ac:dyDescent="0.25">
      <c r="A11" s="17" t="s">
        <v>91</v>
      </c>
      <c r="B11" s="36">
        <v>4441.46</v>
      </c>
      <c r="C11" s="36">
        <v>3136.36</v>
      </c>
      <c r="D11" s="17">
        <v>674.94</v>
      </c>
      <c r="E11" s="17">
        <v>710.51</v>
      </c>
      <c r="F11" s="36">
        <v>1333.08</v>
      </c>
      <c r="H11" s="25"/>
      <c r="I11" s="3" t="s">
        <v>91</v>
      </c>
      <c r="J11" s="25"/>
      <c r="K11" s="25"/>
      <c r="L11" s="87">
        <f>(E11-F11)/F11</f>
        <v>-0.46701623308428597</v>
      </c>
      <c r="M11" s="87">
        <f>(D11-F11)/F11</f>
        <v>-0.4936988027725267</v>
      </c>
      <c r="N11" s="87">
        <f>(C11-F11)/F11</f>
        <v>1.3527170162330846</v>
      </c>
      <c r="O11" s="87">
        <f>(B11-F11)/F11</f>
        <v>2.3317280283253821</v>
      </c>
    </row>
    <row r="12" spans="1:20" x14ac:dyDescent="0.25">
      <c r="A12" s="17" t="s">
        <v>92</v>
      </c>
      <c r="B12" s="36">
        <v>1104.43</v>
      </c>
      <c r="C12" s="17">
        <v>967.5</v>
      </c>
      <c r="D12" s="17">
        <v>841.95</v>
      </c>
      <c r="E12" s="17">
        <v>559.16999999999996</v>
      </c>
      <c r="F12" s="17">
        <v>325.89999999999998</v>
      </c>
      <c r="H12" s="25"/>
      <c r="I12" s="3" t="s">
        <v>92</v>
      </c>
      <c r="J12" s="25"/>
      <c r="K12" s="25"/>
      <c r="L12" s="87">
        <f>(E12-F12)/F12</f>
        <v>0.71577170911322496</v>
      </c>
      <c r="M12" s="87">
        <f>(D12-F12)/F12</f>
        <v>1.5834611844123967</v>
      </c>
      <c r="N12" s="87">
        <f>(C12-F12)/F12</f>
        <v>1.9687020558453516</v>
      </c>
      <c r="O12" s="87">
        <f>(B12-F12)/F12</f>
        <v>2.3888616139920225</v>
      </c>
    </row>
    <row r="13" spans="1:20" x14ac:dyDescent="0.25">
      <c r="A13" s="17" t="s">
        <v>93</v>
      </c>
      <c r="B13" s="17">
        <v>19.690000000000001</v>
      </c>
      <c r="C13" s="17">
        <v>24.67</v>
      </c>
      <c r="D13" s="17">
        <v>9.86</v>
      </c>
      <c r="E13" s="17">
        <v>7.35</v>
      </c>
      <c r="F13" s="17">
        <v>6.51</v>
      </c>
      <c r="H13" s="25"/>
      <c r="I13" s="3" t="s">
        <v>93</v>
      </c>
      <c r="J13" s="25"/>
      <c r="K13" s="25"/>
      <c r="L13" s="87">
        <f>(E13-F13)/F13</f>
        <v>0.1290322580645161</v>
      </c>
      <c r="M13" s="87">
        <f>(D13-F13)/F13</f>
        <v>0.51459293394777261</v>
      </c>
      <c r="N13" s="87">
        <f>(C13-F13)/F13</f>
        <v>2.7895545314900159</v>
      </c>
      <c r="O13" s="87">
        <f>(B13-F13)/F13</f>
        <v>2.0245775729646702</v>
      </c>
    </row>
    <row r="14" spans="1:20" x14ac:dyDescent="0.25">
      <c r="A14" s="17" t="s">
        <v>94</v>
      </c>
      <c r="B14" s="17">
        <v>23.81</v>
      </c>
      <c r="C14" s="17">
        <v>22.22</v>
      </c>
      <c r="D14" s="17">
        <v>29.8</v>
      </c>
      <c r="E14" s="17">
        <v>22.26</v>
      </c>
      <c r="F14" s="17">
        <v>19.899999999999999</v>
      </c>
      <c r="H14" s="25"/>
      <c r="I14" s="3" t="s">
        <v>94</v>
      </c>
      <c r="J14" s="25"/>
      <c r="K14" s="25"/>
      <c r="L14" s="87">
        <f>(E14-F14)/F14</f>
        <v>0.11859296482412077</v>
      </c>
      <c r="M14" s="87">
        <f>(D14-F14)/F14</f>
        <v>0.4974874371859298</v>
      </c>
      <c r="N14" s="87">
        <f>(C14-F14)/F14</f>
        <v>0.11658291457286435</v>
      </c>
      <c r="O14" s="87">
        <f>(B14-F14)/F14</f>
        <v>0.19648241206030154</v>
      </c>
    </row>
    <row r="15" spans="1:20" x14ac:dyDescent="0.25">
      <c r="A15" s="17" t="s">
        <v>95</v>
      </c>
      <c r="B15" s="36">
        <v>5589.39</v>
      </c>
      <c r="C15" s="36">
        <v>4150.75</v>
      </c>
      <c r="D15" s="36">
        <v>1556.55</v>
      </c>
      <c r="E15" s="36">
        <v>1299.29</v>
      </c>
      <c r="F15" s="36">
        <v>1685.39</v>
      </c>
      <c r="H15" s="25"/>
      <c r="I15" s="3" t="s">
        <v>95</v>
      </c>
      <c r="J15" s="25"/>
      <c r="K15" s="25"/>
      <c r="L15" s="87">
        <f>(E15-F15)/F15</f>
        <v>-0.22908644290045635</v>
      </c>
      <c r="M15" s="87">
        <f>(D15-F15)/F15</f>
        <v>-7.6445214460748034E-2</v>
      </c>
      <c r="N15" s="87">
        <f>(C15-F15)/F15</f>
        <v>1.4627830947139828</v>
      </c>
      <c r="O15" s="87">
        <f>(B15-F15)/F15</f>
        <v>2.3163778116637692</v>
      </c>
    </row>
    <row r="16" spans="1:20" x14ac:dyDescent="0.25">
      <c r="A16" s="17" t="s">
        <v>96</v>
      </c>
      <c r="B16" s="17"/>
      <c r="C16" s="17"/>
      <c r="D16" s="17"/>
      <c r="E16" s="17"/>
      <c r="F16" s="17"/>
      <c r="H16" s="25"/>
      <c r="I16" s="3" t="s">
        <v>96</v>
      </c>
      <c r="J16" s="25"/>
      <c r="K16" s="25"/>
      <c r="L16" s="87"/>
      <c r="M16" s="87"/>
      <c r="N16" s="87"/>
      <c r="O16" s="87"/>
    </row>
    <row r="17" spans="1:15" x14ac:dyDescent="0.25">
      <c r="A17" s="17" t="s">
        <v>97</v>
      </c>
      <c r="B17" s="36">
        <v>2563.52</v>
      </c>
      <c r="C17" s="36">
        <v>3137.26</v>
      </c>
      <c r="D17" s="17">
        <v>596.74</v>
      </c>
      <c r="E17" s="17">
        <v>199.35</v>
      </c>
      <c r="F17" s="17">
        <v>0</v>
      </c>
      <c r="H17" s="25"/>
      <c r="I17" s="3" t="s">
        <v>97</v>
      </c>
      <c r="J17" s="25"/>
      <c r="K17" s="25"/>
      <c r="L17" s="87"/>
      <c r="M17" s="87"/>
      <c r="N17" s="87"/>
      <c r="O17" s="87"/>
    </row>
    <row r="18" spans="1:15" x14ac:dyDescent="0.25">
      <c r="A18" s="17" t="s">
        <v>98</v>
      </c>
      <c r="B18" s="36">
        <v>1011.36</v>
      </c>
      <c r="C18" s="17">
        <v>900.51</v>
      </c>
      <c r="D18" s="17">
        <v>883.99</v>
      </c>
      <c r="E18" s="17">
        <v>717.68</v>
      </c>
      <c r="F18" s="36">
        <v>1265.9100000000001</v>
      </c>
      <c r="H18" s="25"/>
      <c r="I18" s="3" t="s">
        <v>98</v>
      </c>
      <c r="J18" s="25"/>
      <c r="K18" s="25"/>
      <c r="L18" s="87">
        <f>(E18-F18)/F18</f>
        <v>-0.43307186134875314</v>
      </c>
      <c r="M18" s="87">
        <f>(D18-F18)/F18</f>
        <v>-0.30169601314469435</v>
      </c>
      <c r="N18" s="87">
        <f>(C18-F18)/F18</f>
        <v>-0.28864611228286374</v>
      </c>
      <c r="O18" s="87">
        <f>(B18-F18)/F18</f>
        <v>-0.20108064554352209</v>
      </c>
    </row>
    <row r="19" spans="1:15" x14ac:dyDescent="0.25">
      <c r="A19" s="17" t="s">
        <v>99</v>
      </c>
      <c r="B19" s="17">
        <v>324.33</v>
      </c>
      <c r="C19" s="17">
        <v>142.63999999999999</v>
      </c>
      <c r="D19" s="17">
        <v>141.07</v>
      </c>
      <c r="E19" s="17">
        <v>861.78</v>
      </c>
      <c r="F19" s="36">
        <v>1199.73</v>
      </c>
      <c r="H19" s="25"/>
      <c r="I19" s="3" t="s">
        <v>99</v>
      </c>
      <c r="J19" s="25"/>
      <c r="K19" s="25"/>
      <c r="L19" s="87">
        <f>(E19-F19)/F19</f>
        <v>-0.28168837988547424</v>
      </c>
      <c r="M19" s="87">
        <f>(D19-F19)/F19</f>
        <v>-0.88241521008893675</v>
      </c>
      <c r="N19" s="87">
        <f>(C19-F19)/F19</f>
        <v>-0.88110658231435413</v>
      </c>
      <c r="O19" s="87">
        <f>(B19-F19)/F19</f>
        <v>-0.72966417443924891</v>
      </c>
    </row>
    <row r="20" spans="1:15" x14ac:dyDescent="0.25">
      <c r="A20" s="17" t="s">
        <v>100</v>
      </c>
      <c r="B20" s="17">
        <v>9.23</v>
      </c>
      <c r="C20" s="17">
        <v>8.89</v>
      </c>
      <c r="D20" s="17">
        <v>6.38</v>
      </c>
      <c r="E20" s="17">
        <v>5.87</v>
      </c>
      <c r="F20" s="17">
        <v>4.21</v>
      </c>
      <c r="H20" s="25"/>
      <c r="I20" s="3" t="s">
        <v>100</v>
      </c>
      <c r="J20" s="25"/>
      <c r="K20" s="25"/>
      <c r="L20" s="87">
        <f>(E20-F20)/F20</f>
        <v>0.3942992874109264</v>
      </c>
      <c r="M20" s="87">
        <f>(D20-F20)/F20</f>
        <v>0.51543942992874103</v>
      </c>
      <c r="N20" s="87">
        <f>(C20-F20)/F20</f>
        <v>1.1116389548693588</v>
      </c>
      <c r="O20" s="87">
        <f>(B20-F20)/F20</f>
        <v>1.1923990498812354</v>
      </c>
    </row>
    <row r="21" spans="1:15" x14ac:dyDescent="0.25">
      <c r="A21" s="17" t="s">
        <v>101</v>
      </c>
      <c r="B21" s="36">
        <v>3908.44</v>
      </c>
      <c r="C21" s="36">
        <v>4189.3</v>
      </c>
      <c r="D21" s="36">
        <v>1628.18</v>
      </c>
      <c r="E21" s="36">
        <v>1784.68</v>
      </c>
      <c r="F21" s="36">
        <v>2469.85</v>
      </c>
      <c r="H21" s="25"/>
      <c r="I21" s="3" t="s">
        <v>101</v>
      </c>
      <c r="J21" s="25"/>
      <c r="K21" s="25"/>
      <c r="L21" s="87">
        <f>(E21-F21)/F21</f>
        <v>-0.27741360811385302</v>
      </c>
      <c r="M21" s="87">
        <f>(D21-F21)/F21</f>
        <v>-0.34077778002712711</v>
      </c>
      <c r="N21" s="87">
        <f>(C21-F21)/F21</f>
        <v>0.69617588112638429</v>
      </c>
      <c r="O21" s="87">
        <f>(B21-F21)/F21</f>
        <v>0.58246047330809569</v>
      </c>
    </row>
    <row r="22" spans="1:15" x14ac:dyDescent="0.25">
      <c r="A22" s="17" t="s">
        <v>102</v>
      </c>
      <c r="B22" s="36">
        <v>24609.88</v>
      </c>
      <c r="C22" s="36">
        <v>21949.46</v>
      </c>
      <c r="D22" s="36">
        <v>16672.439999999999</v>
      </c>
      <c r="E22" s="36">
        <v>14716.31</v>
      </c>
      <c r="F22" s="36">
        <v>13555.44</v>
      </c>
      <c r="H22" s="25"/>
      <c r="I22" s="3" t="s">
        <v>102</v>
      </c>
      <c r="J22" s="25"/>
      <c r="K22" s="25"/>
      <c r="L22" s="87">
        <f>(E22-F22)/F22</f>
        <v>8.5638680854328519E-2</v>
      </c>
      <c r="M22" s="87">
        <f>(D22-F22)/F22</f>
        <v>0.22994458313415117</v>
      </c>
      <c r="N22" s="87">
        <f>(C22-F22)/F22</f>
        <v>0.61923626234190832</v>
      </c>
      <c r="O22" s="87">
        <f>(B22-F22)/F22</f>
        <v>0.81549842719970733</v>
      </c>
    </row>
    <row r="23" spans="1:15" x14ac:dyDescent="0.25">
      <c r="A23" s="17" t="s">
        <v>103</v>
      </c>
      <c r="B23" s="17"/>
      <c r="C23" s="17"/>
      <c r="D23" s="17"/>
      <c r="E23" s="17"/>
      <c r="F23" s="17"/>
      <c r="H23" s="25"/>
      <c r="I23" s="3" t="s">
        <v>103</v>
      </c>
      <c r="J23" s="25"/>
      <c r="K23" s="25"/>
      <c r="L23" s="87"/>
      <c r="M23" s="87"/>
      <c r="N23" s="87"/>
      <c r="O23" s="87"/>
    </row>
    <row r="24" spans="1:15" x14ac:dyDescent="0.25">
      <c r="A24" s="17" t="s">
        <v>104</v>
      </c>
      <c r="B24" s="17"/>
      <c r="C24" s="17"/>
      <c r="D24" s="17"/>
      <c r="E24" s="17"/>
      <c r="F24" s="17"/>
      <c r="H24" s="25"/>
      <c r="I24" s="3" t="s">
        <v>104</v>
      </c>
      <c r="J24" s="25"/>
      <c r="K24" s="25"/>
      <c r="L24" s="87"/>
      <c r="M24" s="87"/>
      <c r="N24" s="87"/>
      <c r="O24" s="87"/>
    </row>
    <row r="25" spans="1:15" x14ac:dyDescent="0.25">
      <c r="A25" s="17" t="s">
        <v>105</v>
      </c>
      <c r="B25" s="36">
        <v>3509.64</v>
      </c>
      <c r="C25" s="36">
        <v>3706.42</v>
      </c>
      <c r="D25" s="36">
        <v>3954.46</v>
      </c>
      <c r="E25" s="36">
        <v>4178.8999999999996</v>
      </c>
      <c r="F25" s="36">
        <v>4507.17</v>
      </c>
      <c r="H25" s="25"/>
      <c r="I25" s="3" t="s">
        <v>105</v>
      </c>
      <c r="J25" s="25"/>
      <c r="K25" s="25"/>
      <c r="L25" s="87">
        <f>(E25-F25)/F25</f>
        <v>-7.2832841894137662E-2</v>
      </c>
      <c r="M25" s="87">
        <f>(D25-F25)/F25</f>
        <v>-0.12262905548270867</v>
      </c>
      <c r="N25" s="87">
        <f>(C25-F25)/F25</f>
        <v>-0.17766137066052534</v>
      </c>
      <c r="O25" s="87">
        <f>(B25-F25)/F25</f>
        <v>-0.22132069569153154</v>
      </c>
    </row>
    <row r="26" spans="1:15" x14ac:dyDescent="0.25">
      <c r="A26" s="17" t="s">
        <v>106</v>
      </c>
      <c r="B26" s="17">
        <v>1.71</v>
      </c>
      <c r="C26" s="17">
        <v>2.21</v>
      </c>
      <c r="D26" s="17">
        <v>2.2000000000000002</v>
      </c>
      <c r="E26" s="17">
        <v>1.22</v>
      </c>
      <c r="F26" s="17">
        <v>0.76</v>
      </c>
      <c r="H26" s="25"/>
      <c r="I26" s="3" t="s">
        <v>106</v>
      </c>
      <c r="J26" s="25"/>
      <c r="K26" s="25"/>
      <c r="L26" s="87">
        <f>(E26-F26)/F26</f>
        <v>0.60526315789473684</v>
      </c>
      <c r="M26" s="87">
        <f>(D26-F26)/F26</f>
        <v>1.8947368421052633</v>
      </c>
      <c r="N26" s="87">
        <f>(C26-F26)/F26</f>
        <v>1.9078947368421051</v>
      </c>
      <c r="O26" s="87">
        <f>(B26-F26)/F26</f>
        <v>1.25</v>
      </c>
    </row>
    <row r="27" spans="1:15" x14ac:dyDescent="0.25">
      <c r="A27" s="17" t="s">
        <v>107</v>
      </c>
      <c r="B27" s="17">
        <v>17.559999999999999</v>
      </c>
      <c r="C27" s="17">
        <v>15.53</v>
      </c>
      <c r="D27" s="17">
        <v>23.44</v>
      </c>
      <c r="E27" s="17">
        <v>33.85</v>
      </c>
      <c r="F27" s="17">
        <v>108.85</v>
      </c>
      <c r="H27" s="25"/>
      <c r="I27" s="3" t="s">
        <v>107</v>
      </c>
      <c r="J27" s="25"/>
      <c r="K27" s="25"/>
      <c r="L27" s="87">
        <f>(E27-F27)/F27</f>
        <v>-0.68902158934313273</v>
      </c>
      <c r="M27" s="87">
        <f>(D27-F27)/F27</f>
        <v>-0.78465778594395963</v>
      </c>
      <c r="N27" s="87">
        <f>(C27-F27)/F27</f>
        <v>-0.85732659623334861</v>
      </c>
      <c r="O27" s="87">
        <f>(B27-F27)/F27</f>
        <v>-0.83867707854846119</v>
      </c>
    </row>
    <row r="28" spans="1:15" x14ac:dyDescent="0.25">
      <c r="A28" s="17" t="s">
        <v>108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H28" s="25"/>
      <c r="I28" s="3" t="s">
        <v>108</v>
      </c>
      <c r="J28" s="25"/>
      <c r="K28" s="25"/>
      <c r="L28" s="87"/>
      <c r="M28" s="87"/>
      <c r="N28" s="87"/>
      <c r="O28" s="87"/>
    </row>
    <row r="29" spans="1:15" x14ac:dyDescent="0.25">
      <c r="A29" s="17" t="s">
        <v>109</v>
      </c>
      <c r="B29" s="36">
        <v>3531.7</v>
      </c>
      <c r="C29" s="36">
        <v>3724.16</v>
      </c>
      <c r="D29" s="36">
        <v>3980.1</v>
      </c>
      <c r="E29" s="36">
        <v>4213.97</v>
      </c>
      <c r="F29" s="36">
        <v>4616.78</v>
      </c>
      <c r="H29" s="25"/>
      <c r="I29" s="3" t="s">
        <v>109</v>
      </c>
      <c r="J29" s="25"/>
      <c r="K29" s="25"/>
      <c r="L29" s="87">
        <f>(E29-F29)/F29</f>
        <v>-8.72491216822113E-2</v>
      </c>
      <c r="M29" s="87">
        <f>(D29-F29)/F29</f>
        <v>-0.1379056398615485</v>
      </c>
      <c r="N29" s="87">
        <f>(C29-F29)/F29</f>
        <v>-0.19334254610356133</v>
      </c>
      <c r="O29" s="87">
        <f>(B29-F29)/F29</f>
        <v>-0.23502960938143033</v>
      </c>
    </row>
    <row r="30" spans="1:15" x14ac:dyDescent="0.25">
      <c r="A30" s="17" t="s">
        <v>110</v>
      </c>
      <c r="B30" s="36">
        <v>17335.47</v>
      </c>
      <c r="C30" s="36">
        <v>14654.68</v>
      </c>
      <c r="D30" s="36">
        <v>6654.04</v>
      </c>
      <c r="E30" s="36">
        <v>7674.34</v>
      </c>
      <c r="F30" s="36">
        <v>5082.7</v>
      </c>
      <c r="H30" s="25"/>
      <c r="I30" s="3" t="s">
        <v>110</v>
      </c>
      <c r="J30" s="25"/>
      <c r="K30" s="25"/>
      <c r="L30" s="87">
        <f>(E30-F30)/F30</f>
        <v>0.50989434749247453</v>
      </c>
      <c r="M30" s="87">
        <f>(D30-F30)/F30</f>
        <v>0.30915458319397177</v>
      </c>
      <c r="N30" s="87">
        <f>(C30-F30)/F30</f>
        <v>1.8832470930804492</v>
      </c>
      <c r="O30" s="87">
        <f>(B30-F30)/F30</f>
        <v>2.410681330788754</v>
      </c>
    </row>
    <row r="31" spans="1:15" x14ac:dyDescent="0.25">
      <c r="A31" s="17" t="s">
        <v>111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H31" s="25"/>
      <c r="I31" s="3" t="s">
        <v>111</v>
      </c>
      <c r="J31" s="25"/>
      <c r="K31" s="25"/>
      <c r="L31" s="87"/>
      <c r="M31" s="87"/>
      <c r="N31" s="87"/>
      <c r="O31" s="87"/>
    </row>
    <row r="32" spans="1:15" x14ac:dyDescent="0.25">
      <c r="A32" s="17" t="s">
        <v>112</v>
      </c>
      <c r="B32" s="17">
        <v>80.97</v>
      </c>
      <c r="C32" s="17">
        <v>79.849999999999994</v>
      </c>
      <c r="D32" s="17">
        <v>73.62</v>
      </c>
      <c r="E32" s="17">
        <v>102.53</v>
      </c>
      <c r="F32" s="17">
        <v>205.13</v>
      </c>
      <c r="H32" s="25"/>
      <c r="I32" s="3" t="s">
        <v>112</v>
      </c>
      <c r="J32" s="25"/>
      <c r="K32" s="25"/>
      <c r="L32" s="87">
        <f>(E32-F32)/F32</f>
        <v>-0.50017062350704433</v>
      </c>
      <c r="M32" s="87">
        <f>(D32-F32)/F32</f>
        <v>-0.6411056403256471</v>
      </c>
      <c r="N32" s="87">
        <f>(C32-F32)/F32</f>
        <v>-0.61073465607175936</v>
      </c>
      <c r="O32" s="87">
        <f>(B32-F32)/F32</f>
        <v>-0.6052747038463413</v>
      </c>
    </row>
    <row r="33" spans="1:15" x14ac:dyDescent="0.25">
      <c r="A33" s="17" t="s">
        <v>113</v>
      </c>
      <c r="B33" s="36">
        <v>1401.72</v>
      </c>
      <c r="C33" s="36">
        <v>1255.27</v>
      </c>
      <c r="D33" s="36">
        <v>1213.3699999999999</v>
      </c>
      <c r="E33" s="36">
        <v>1179.08</v>
      </c>
      <c r="F33" s="36">
        <v>1160.44</v>
      </c>
      <c r="H33" s="25"/>
      <c r="I33" s="3" t="s">
        <v>113</v>
      </c>
      <c r="J33" s="25"/>
      <c r="K33" s="25"/>
      <c r="L33" s="87">
        <f>(E33-F33)/F33</f>
        <v>1.6062872703457198E-2</v>
      </c>
      <c r="M33" s="87">
        <f>(D33-F33)/F33</f>
        <v>4.5612009237875145E-2</v>
      </c>
      <c r="N33" s="87">
        <f>(C33-F33)/F33</f>
        <v>8.1719003136741172E-2</v>
      </c>
      <c r="O33" s="87">
        <f>(B33-F33)/F33</f>
        <v>0.20792113336320703</v>
      </c>
    </row>
    <row r="34" spans="1:15" x14ac:dyDescent="0.25">
      <c r="A34" s="17" t="s">
        <v>114</v>
      </c>
      <c r="B34" s="36">
        <v>22349.86</v>
      </c>
      <c r="C34" s="36">
        <v>19713.96</v>
      </c>
      <c r="D34" s="36">
        <v>11921.13</v>
      </c>
      <c r="E34" s="36">
        <v>13169.92</v>
      </c>
      <c r="F34" s="36">
        <v>11065.05</v>
      </c>
      <c r="H34" s="25"/>
      <c r="I34" s="3" t="s">
        <v>114</v>
      </c>
      <c r="J34" s="25"/>
      <c r="K34" s="25"/>
      <c r="L34" s="87">
        <f>(E34-F34)/F34</f>
        <v>0.19022688555406445</v>
      </c>
      <c r="M34" s="87">
        <f>(D34-F34)/F34</f>
        <v>7.736792874862744E-2</v>
      </c>
      <c r="N34" s="87">
        <f>(C34-F34)/F34</f>
        <v>0.78164219773069266</v>
      </c>
      <c r="O34" s="87">
        <f>(B34-F34)/F34</f>
        <v>1.0198607326672724</v>
      </c>
    </row>
    <row r="35" spans="1:15" x14ac:dyDescent="0.25">
      <c r="A35" s="17" t="s">
        <v>115</v>
      </c>
      <c r="B35" s="17"/>
      <c r="C35" s="17"/>
      <c r="D35" s="17"/>
      <c r="E35" s="17"/>
      <c r="F35" s="17"/>
      <c r="H35" s="25"/>
      <c r="I35" s="3" t="s">
        <v>115</v>
      </c>
      <c r="J35" s="25"/>
      <c r="K35" s="25"/>
      <c r="L35" s="87"/>
      <c r="M35" s="87"/>
      <c r="N35" s="87"/>
      <c r="O35" s="87"/>
    </row>
    <row r="36" spans="1:15" x14ac:dyDescent="0.25">
      <c r="A36" s="17" t="s">
        <v>116</v>
      </c>
      <c r="B36" s="17">
        <v>77.97</v>
      </c>
      <c r="C36" s="17">
        <v>75.819999999999993</v>
      </c>
      <c r="D36" s="17">
        <v>212.6</v>
      </c>
      <c r="E36" s="17">
        <v>537.55999999999995</v>
      </c>
      <c r="F36" s="17">
        <v>334.1</v>
      </c>
      <c r="H36" s="25"/>
      <c r="I36" s="3" t="s">
        <v>116</v>
      </c>
      <c r="J36" s="25"/>
      <c r="K36" s="25"/>
      <c r="L36" s="87">
        <f t="shared" ref="L36:L43" si="0">(E36-F36)/F36</f>
        <v>0.608979347500748</v>
      </c>
      <c r="M36" s="87">
        <f t="shared" ref="M36:M43" si="1">(D36-F36)/F36</f>
        <v>-0.36366357378030534</v>
      </c>
      <c r="N36" s="87">
        <f t="shared" ref="N36:N43" si="2">(C36-F36)/F36</f>
        <v>-0.77306195749775519</v>
      </c>
      <c r="O36" s="87">
        <f t="shared" ref="O36:O43" si="3">(B36-F36)/F36</f>
        <v>-0.76662675845555217</v>
      </c>
    </row>
    <row r="37" spans="1:15" x14ac:dyDescent="0.25">
      <c r="A37" s="17" t="s">
        <v>117</v>
      </c>
      <c r="B37" s="17">
        <v>439.13</v>
      </c>
      <c r="C37" s="17">
        <v>781.86</v>
      </c>
      <c r="D37" s="17">
        <v>776.09</v>
      </c>
      <c r="E37" s="17">
        <v>236.34</v>
      </c>
      <c r="F37" s="17">
        <v>540.77</v>
      </c>
      <c r="H37" s="25"/>
      <c r="I37" s="3" t="s">
        <v>117</v>
      </c>
      <c r="J37" s="25"/>
      <c r="K37" s="25"/>
      <c r="L37" s="87">
        <f t="shared" si="0"/>
        <v>-0.56295652495515647</v>
      </c>
      <c r="M37" s="87">
        <f t="shared" si="1"/>
        <v>0.43515727573644997</v>
      </c>
      <c r="N37" s="87">
        <f t="shared" si="2"/>
        <v>0.44582724633393134</v>
      </c>
      <c r="O37" s="87">
        <f t="shared" si="3"/>
        <v>-0.18795421343639623</v>
      </c>
    </row>
    <row r="38" spans="1:15" x14ac:dyDescent="0.25">
      <c r="A38" s="17" t="s">
        <v>118</v>
      </c>
      <c r="B38" s="17">
        <v>623.75</v>
      </c>
      <c r="C38" s="17">
        <v>644.73</v>
      </c>
      <c r="D38" s="17">
        <v>300.51</v>
      </c>
      <c r="E38" s="17">
        <v>253</v>
      </c>
      <c r="F38" s="17">
        <v>797.12</v>
      </c>
      <c r="H38" s="25"/>
      <c r="I38" s="3" t="s">
        <v>118</v>
      </c>
      <c r="J38" s="25"/>
      <c r="K38" s="25"/>
      <c r="L38" s="87">
        <f t="shared" si="0"/>
        <v>-0.68260738659173026</v>
      </c>
      <c r="M38" s="87">
        <f t="shared" si="1"/>
        <v>-0.6230053191489362</v>
      </c>
      <c r="N38" s="87">
        <f t="shared" si="2"/>
        <v>-0.19117573263749496</v>
      </c>
      <c r="O38" s="87">
        <f t="shared" si="3"/>
        <v>-0.21749548374146929</v>
      </c>
    </row>
    <row r="39" spans="1:15" x14ac:dyDescent="0.25">
      <c r="A39" s="17" t="s">
        <v>119</v>
      </c>
      <c r="B39" s="17">
        <v>830.52</v>
      </c>
      <c r="C39" s="17">
        <v>435.08</v>
      </c>
      <c r="D39" s="17">
        <v>203.01</v>
      </c>
      <c r="E39" s="17">
        <v>127.33</v>
      </c>
      <c r="F39" s="17">
        <v>157.6</v>
      </c>
      <c r="H39" s="25"/>
      <c r="I39" s="3" t="s">
        <v>119</v>
      </c>
      <c r="J39" s="25"/>
      <c r="K39" s="25"/>
      <c r="L39" s="87">
        <f t="shared" si="0"/>
        <v>-0.19206852791878171</v>
      </c>
      <c r="M39" s="87">
        <f t="shared" si="1"/>
        <v>0.28813451776649746</v>
      </c>
      <c r="N39" s="87">
        <f t="shared" si="2"/>
        <v>1.7606598984771575</v>
      </c>
      <c r="O39" s="87">
        <f t="shared" si="3"/>
        <v>4.2697969543147209</v>
      </c>
    </row>
    <row r="40" spans="1:15" x14ac:dyDescent="0.25">
      <c r="A40" s="17" t="s">
        <v>120</v>
      </c>
      <c r="B40" s="17">
        <v>153.97999999999999</v>
      </c>
      <c r="C40" s="17">
        <v>118.41</v>
      </c>
      <c r="D40" s="17">
        <v>869.99</v>
      </c>
      <c r="E40" s="17">
        <v>65.84</v>
      </c>
      <c r="F40" s="17">
        <v>250.83</v>
      </c>
      <c r="H40" s="25"/>
      <c r="I40" s="3" t="s">
        <v>120</v>
      </c>
      <c r="J40" s="25"/>
      <c r="K40" s="25"/>
      <c r="L40" s="87">
        <f t="shared" si="0"/>
        <v>-0.73751146194633821</v>
      </c>
      <c r="M40" s="87">
        <f t="shared" si="1"/>
        <v>2.4684447633855595</v>
      </c>
      <c r="N40" s="87">
        <f t="shared" si="2"/>
        <v>-0.52792728142566681</v>
      </c>
      <c r="O40" s="87">
        <f t="shared" si="3"/>
        <v>-0.38611808794801267</v>
      </c>
    </row>
    <row r="41" spans="1:15" x14ac:dyDescent="0.25">
      <c r="A41" s="17" t="s">
        <v>121</v>
      </c>
      <c r="B41" s="17">
        <v>134.66999999999999</v>
      </c>
      <c r="C41" s="17">
        <v>179.6</v>
      </c>
      <c r="D41" s="36">
        <v>2389.11</v>
      </c>
      <c r="E41" s="17">
        <v>326.32</v>
      </c>
      <c r="F41" s="17">
        <v>409.97</v>
      </c>
      <c r="H41" s="25"/>
      <c r="I41" s="3" t="s">
        <v>121</v>
      </c>
      <c r="J41" s="25"/>
      <c r="K41" s="25"/>
      <c r="L41" s="87">
        <f t="shared" si="0"/>
        <v>-0.20403931995024033</v>
      </c>
      <c r="M41" s="87">
        <f t="shared" si="1"/>
        <v>4.8275239651681829</v>
      </c>
      <c r="N41" s="87">
        <f t="shared" si="2"/>
        <v>-0.56191916481693782</v>
      </c>
      <c r="O41" s="87">
        <f t="shared" si="3"/>
        <v>-0.67151254969875862</v>
      </c>
    </row>
    <row r="42" spans="1:15" x14ac:dyDescent="0.25">
      <c r="A42" s="17" t="s">
        <v>122</v>
      </c>
      <c r="B42" s="36">
        <v>2260.02</v>
      </c>
      <c r="C42" s="36">
        <v>2235.5</v>
      </c>
      <c r="D42" s="36">
        <v>4751.3100000000004</v>
      </c>
      <c r="E42" s="36">
        <v>1546.39</v>
      </c>
      <c r="F42" s="36">
        <v>2490.39</v>
      </c>
      <c r="H42" s="25"/>
      <c r="I42" s="3" t="s">
        <v>122</v>
      </c>
      <c r="J42" s="25"/>
      <c r="K42" s="25"/>
      <c r="L42" s="87">
        <f t="shared" si="0"/>
        <v>-0.37905709547500588</v>
      </c>
      <c r="M42" s="87">
        <f t="shared" si="1"/>
        <v>0.90785780540397309</v>
      </c>
      <c r="N42" s="87">
        <f t="shared" si="2"/>
        <v>-0.10234943121358497</v>
      </c>
      <c r="O42" s="87">
        <f t="shared" si="3"/>
        <v>-9.2503583776035042E-2</v>
      </c>
    </row>
    <row r="43" spans="1:15" x14ac:dyDescent="0.25">
      <c r="A43" s="17" t="s">
        <v>123</v>
      </c>
      <c r="B43" s="36">
        <v>24609.88</v>
      </c>
      <c r="C43" s="36">
        <v>21949.46</v>
      </c>
      <c r="D43" s="36">
        <v>16672.439999999999</v>
      </c>
      <c r="E43" s="36">
        <v>14716.31</v>
      </c>
      <c r="F43" s="36">
        <v>13555.44</v>
      </c>
      <c r="H43" s="25"/>
      <c r="I43" s="3" t="s">
        <v>123</v>
      </c>
      <c r="J43" s="25"/>
      <c r="K43" s="25"/>
      <c r="L43" s="87">
        <f t="shared" si="0"/>
        <v>8.5638680854328519E-2</v>
      </c>
      <c r="M43" s="87">
        <f t="shared" si="1"/>
        <v>0.22994458313415117</v>
      </c>
      <c r="N43" s="87">
        <f t="shared" si="2"/>
        <v>0.61923626234190832</v>
      </c>
      <c r="O43" s="87">
        <f t="shared" si="3"/>
        <v>0.81549842719970733</v>
      </c>
    </row>
    <row r="44" spans="1:15" x14ac:dyDescent="0.25">
      <c r="A44" s="17" t="s">
        <v>124</v>
      </c>
      <c r="B44" s="17"/>
      <c r="C44" s="17"/>
      <c r="D44" s="17"/>
      <c r="E44" s="17"/>
      <c r="F44" s="17"/>
      <c r="H44" s="25"/>
      <c r="I44" s="3" t="s">
        <v>124</v>
      </c>
      <c r="J44" s="25"/>
      <c r="K44" s="25"/>
      <c r="L44" s="87"/>
      <c r="M44" s="87"/>
      <c r="N44" s="87"/>
      <c r="O44" s="87"/>
    </row>
    <row r="45" spans="1:15" x14ac:dyDescent="0.25">
      <c r="A45" s="17" t="s">
        <v>125</v>
      </c>
      <c r="B45" s="17"/>
      <c r="C45" s="17"/>
      <c r="D45" s="17"/>
      <c r="E45" s="17"/>
      <c r="F45" s="17"/>
      <c r="H45" s="25"/>
      <c r="I45" s="3" t="s">
        <v>125</v>
      </c>
      <c r="J45" s="25"/>
      <c r="K45" s="25"/>
      <c r="L45" s="87"/>
      <c r="M45" s="87"/>
      <c r="N45" s="87"/>
      <c r="O45" s="87"/>
    </row>
    <row r="46" spans="1:15" x14ac:dyDescent="0.25">
      <c r="A46" s="17" t="s">
        <v>126</v>
      </c>
      <c r="B46" s="36">
        <v>4879.29</v>
      </c>
      <c r="C46" s="36">
        <v>4025.28</v>
      </c>
      <c r="D46" s="36">
        <v>3238.52</v>
      </c>
      <c r="E46" s="36">
        <v>1284.77</v>
      </c>
      <c r="F46" s="36">
        <v>1461.88</v>
      </c>
      <c r="H46" s="25"/>
      <c r="I46" s="3" t="s">
        <v>126</v>
      </c>
      <c r="J46" s="25"/>
      <c r="K46" s="25"/>
      <c r="L46" s="87">
        <f>(E46-F46)/F46</f>
        <v>-0.12115221495608403</v>
      </c>
      <c r="M46" s="87">
        <f>(D46-F46)/F46</f>
        <v>1.2153117902974251</v>
      </c>
      <c r="N46" s="87">
        <f>(C46-F46)/F46</f>
        <v>1.7534954989465619</v>
      </c>
      <c r="O46" s="87">
        <f>(B46-F46)/F46</f>
        <v>2.3376816154540725</v>
      </c>
    </row>
    <row r="47" spans="1:15" x14ac:dyDescent="0.25">
      <c r="A47" s="17" t="s">
        <v>127</v>
      </c>
      <c r="B47" s="17"/>
      <c r="C47" s="17"/>
      <c r="D47" s="17"/>
      <c r="E47" s="17"/>
      <c r="F47" s="17"/>
      <c r="H47" s="25"/>
      <c r="I47" s="3" t="s">
        <v>127</v>
      </c>
      <c r="J47" s="25"/>
      <c r="K47" s="25"/>
      <c r="L47" s="87"/>
      <c r="M47" s="87"/>
      <c r="N47" s="87"/>
      <c r="O47" s="87"/>
    </row>
    <row r="48" spans="1:15" x14ac:dyDescent="0.25">
      <c r="A48" s="17" t="s">
        <v>128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H48" s="25"/>
      <c r="I48" s="3" t="s">
        <v>128</v>
      </c>
      <c r="J48" s="25"/>
      <c r="K48" s="25"/>
      <c r="L48" s="87"/>
      <c r="M48" s="87"/>
      <c r="N48" s="87"/>
      <c r="O48" s="87"/>
    </row>
    <row r="49" spans="1:15" x14ac:dyDescent="0.25">
      <c r="A49" s="17" t="s">
        <v>129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H49" s="25"/>
      <c r="I49" s="3" t="s">
        <v>129</v>
      </c>
      <c r="J49" s="25"/>
      <c r="K49" s="25"/>
      <c r="L49" s="87"/>
      <c r="M49" s="87"/>
      <c r="N49" s="87"/>
      <c r="O49" s="87"/>
    </row>
    <row r="50" spans="1:15" x14ac:dyDescent="0.25">
      <c r="A50" s="17" t="s">
        <v>130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H50" s="25"/>
      <c r="I50" s="3" t="s">
        <v>130</v>
      </c>
      <c r="J50" s="25"/>
      <c r="K50" s="25"/>
      <c r="L50" s="87"/>
      <c r="M50" s="87"/>
      <c r="N50" s="87"/>
      <c r="O50" s="87"/>
    </row>
    <row r="51" spans="1:15" x14ac:dyDescent="0.25">
      <c r="A51" s="17" t="s">
        <v>131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H51" s="25"/>
      <c r="I51" s="3" t="s">
        <v>131</v>
      </c>
      <c r="J51" s="25"/>
      <c r="K51" s="25"/>
      <c r="L51" s="87"/>
      <c r="M51" s="87"/>
      <c r="N51" s="87"/>
      <c r="O51" s="87"/>
    </row>
    <row r="52" spans="1:15" x14ac:dyDescent="0.25">
      <c r="A52" s="17" t="s">
        <v>132</v>
      </c>
      <c r="B52" s="17"/>
      <c r="C52" s="17"/>
      <c r="D52" s="17"/>
      <c r="E52" s="17"/>
      <c r="F52" s="17"/>
      <c r="H52" s="25"/>
      <c r="I52" s="3" t="s">
        <v>132</v>
      </c>
      <c r="J52" s="25"/>
      <c r="K52" s="25"/>
      <c r="L52" s="87"/>
      <c r="M52" s="87"/>
      <c r="N52" s="87"/>
      <c r="O52" s="87"/>
    </row>
    <row r="53" spans="1:15" x14ac:dyDescent="0.25">
      <c r="A53" s="17" t="s">
        <v>133</v>
      </c>
      <c r="B53" s="36">
        <v>2167.14</v>
      </c>
      <c r="C53" s="36">
        <v>2224.2800000000002</v>
      </c>
      <c r="D53" s="36">
        <v>1350.06</v>
      </c>
      <c r="E53" s="17">
        <v>669.81</v>
      </c>
      <c r="F53" s="36">
        <v>2086.6799999999998</v>
      </c>
      <c r="H53" s="25"/>
      <c r="I53" s="3" t="s">
        <v>133</v>
      </c>
      <c r="J53" s="25"/>
      <c r="K53" s="25"/>
      <c r="L53" s="87">
        <f>(E53-F53)/F53</f>
        <v>-0.67900684340675144</v>
      </c>
      <c r="M53" s="87">
        <f>(D53-F53)/F53</f>
        <v>-0.35301052389441601</v>
      </c>
      <c r="N53" s="87">
        <f>(C53-F53)/F53</f>
        <v>6.5942070657695653E-2</v>
      </c>
      <c r="O53" s="87">
        <f>(B53-F53)/F53</f>
        <v>3.8558859048823987E-2</v>
      </c>
    </row>
    <row r="54" spans="1:15" x14ac:dyDescent="0.25">
      <c r="A54" s="17" t="s">
        <v>134</v>
      </c>
      <c r="B54" s="17"/>
      <c r="C54" s="17"/>
      <c r="D54" s="17"/>
      <c r="E54" s="17"/>
      <c r="F54" s="17"/>
      <c r="H54" s="25"/>
      <c r="I54" s="3" t="s">
        <v>134</v>
      </c>
      <c r="J54" s="25"/>
      <c r="K54" s="25"/>
      <c r="L54" s="87"/>
      <c r="M54" s="87"/>
      <c r="N54" s="87"/>
      <c r="O54" s="87"/>
    </row>
    <row r="55" spans="1:15" x14ac:dyDescent="0.25">
      <c r="A55" s="17" t="s">
        <v>135</v>
      </c>
      <c r="B55" s="17" t="s">
        <v>136</v>
      </c>
      <c r="C55" s="17" t="s">
        <v>136</v>
      </c>
      <c r="D55" s="17" t="s">
        <v>136</v>
      </c>
      <c r="E55" s="17" t="s">
        <v>136</v>
      </c>
      <c r="F55" s="17" t="s">
        <v>136</v>
      </c>
      <c r="H55" s="25"/>
      <c r="I55" s="3" t="s">
        <v>135</v>
      </c>
      <c r="J55" s="25"/>
      <c r="K55" s="25"/>
      <c r="L55" s="87"/>
      <c r="M55" s="87"/>
      <c r="N55" s="87"/>
      <c r="O55" s="87"/>
    </row>
    <row r="56" spans="1:15" x14ac:dyDescent="0.25">
      <c r="A56" s="17" t="s">
        <v>137</v>
      </c>
      <c r="B56" s="17"/>
      <c r="C56" s="17"/>
      <c r="D56" s="17"/>
      <c r="E56" s="17"/>
      <c r="F56" s="17"/>
      <c r="H56" s="25"/>
      <c r="I56" s="3" t="s">
        <v>137</v>
      </c>
      <c r="J56" s="25"/>
      <c r="K56" s="25"/>
      <c r="L56" s="87"/>
      <c r="M56" s="87"/>
      <c r="N56" s="87"/>
      <c r="O56" s="87"/>
    </row>
    <row r="57" spans="1:15" x14ac:dyDescent="0.25">
      <c r="A57" s="17" t="s">
        <v>138</v>
      </c>
      <c r="B57" s="17" t="s">
        <v>136</v>
      </c>
      <c r="C57" s="17" t="s">
        <v>136</v>
      </c>
      <c r="D57" s="17" t="s">
        <v>136</v>
      </c>
      <c r="E57" s="17" t="s">
        <v>136</v>
      </c>
      <c r="F57" s="17" t="s">
        <v>136</v>
      </c>
      <c r="H57" s="25"/>
      <c r="I57" s="3" t="s">
        <v>138</v>
      </c>
      <c r="J57" s="25"/>
      <c r="K57" s="25"/>
      <c r="L57" s="87"/>
      <c r="M57" s="87"/>
      <c r="N57" s="87"/>
      <c r="O57" s="87"/>
    </row>
    <row r="58" spans="1:15" x14ac:dyDescent="0.25">
      <c r="A58" s="17" t="s">
        <v>139</v>
      </c>
      <c r="B58" s="17">
        <v>1.93</v>
      </c>
      <c r="C58" s="17" t="s">
        <v>136</v>
      </c>
      <c r="D58" s="17" t="s">
        <v>136</v>
      </c>
      <c r="E58" s="17" t="s">
        <v>136</v>
      </c>
      <c r="F58" s="17" t="s">
        <v>136</v>
      </c>
      <c r="H58" s="25"/>
      <c r="I58" s="3" t="s">
        <v>139</v>
      </c>
      <c r="J58" s="25"/>
      <c r="K58" s="25"/>
      <c r="L58" s="87"/>
      <c r="M58" s="87"/>
      <c r="N58" s="87"/>
      <c r="O58" s="87"/>
    </row>
    <row r="59" spans="1:15" x14ac:dyDescent="0.25">
      <c r="A59" s="17" t="s">
        <v>140</v>
      </c>
      <c r="B59" s="17"/>
      <c r="C59" s="17"/>
      <c r="D59" s="17"/>
      <c r="E59" s="17"/>
      <c r="F59" s="17"/>
      <c r="H59" s="25"/>
      <c r="I59" s="3" t="s">
        <v>140</v>
      </c>
      <c r="J59" s="25"/>
      <c r="K59" s="25"/>
      <c r="L59" s="87"/>
      <c r="M59" s="87"/>
      <c r="N59" s="87"/>
      <c r="O59" s="87"/>
    </row>
    <row r="60" spans="1:15" x14ac:dyDescent="0.25">
      <c r="A60" s="17" t="s">
        <v>141</v>
      </c>
      <c r="B60" s="17">
        <v>987.41</v>
      </c>
      <c r="C60" s="17">
        <v>987.41</v>
      </c>
      <c r="D60" s="17">
        <v>987.41</v>
      </c>
      <c r="E60" s="17">
        <v>987.41</v>
      </c>
      <c r="F60" s="17">
        <v>987.41</v>
      </c>
      <c r="H60" s="25"/>
      <c r="I60" s="3" t="s">
        <v>141</v>
      </c>
      <c r="J60" s="25"/>
      <c r="K60" s="25"/>
      <c r="L60" s="87">
        <f>(E60-F60)/F60</f>
        <v>0</v>
      </c>
      <c r="M60" s="87">
        <f>(D60-F60)/F60</f>
        <v>0</v>
      </c>
      <c r="N60" s="87">
        <f>(C60-F60)/F60</f>
        <v>0</v>
      </c>
      <c r="O60" s="87">
        <f>(B60-F60)/F60</f>
        <v>0</v>
      </c>
    </row>
    <row r="61" spans="1:15" x14ac:dyDescent="0.25">
      <c r="A61" s="17" t="s">
        <v>142</v>
      </c>
      <c r="B61" s="17"/>
      <c r="C61" s="17"/>
      <c r="D61" s="17"/>
      <c r="E61" s="17"/>
      <c r="F61" s="17"/>
      <c r="H61" s="25"/>
      <c r="I61" s="3" t="s">
        <v>142</v>
      </c>
      <c r="J61" s="25"/>
      <c r="K61" s="25"/>
      <c r="L61" s="87"/>
      <c r="M61" s="87"/>
      <c r="N61" s="87"/>
      <c r="O61" s="87"/>
    </row>
    <row r="62" spans="1:15" x14ac:dyDescent="0.25">
      <c r="A62" s="17" t="s">
        <v>143</v>
      </c>
      <c r="B62" s="36">
        <v>5814.58</v>
      </c>
      <c r="C62" s="36">
        <v>4819.34</v>
      </c>
      <c r="D62" s="36">
        <v>5131.3599999999997</v>
      </c>
      <c r="E62" s="36">
        <v>3280.95</v>
      </c>
      <c r="F62" s="36">
        <v>1045.4100000000001</v>
      </c>
      <c r="H62" s="25"/>
      <c r="I62" s="3" t="s">
        <v>143</v>
      </c>
      <c r="J62" s="25"/>
      <c r="K62" s="25"/>
      <c r="L62" s="87">
        <f>(E62-F62)/F62</f>
        <v>2.1384337245673946</v>
      </c>
      <c r="M62" s="87">
        <f>(D62-F62)/F62</f>
        <v>3.9084665346610414</v>
      </c>
      <c r="N62" s="87">
        <f>(C62-F62)/F62</f>
        <v>3.6099999043437503</v>
      </c>
      <c r="O62" s="87">
        <f>(B62-F62)/F62</f>
        <v>4.562009163868721</v>
      </c>
    </row>
    <row r="63" spans="1:15" x14ac:dyDescent="0.25">
      <c r="A63" s="17" t="s">
        <v>144</v>
      </c>
      <c r="B63" s="36">
        <v>11598.86</v>
      </c>
      <c r="C63" s="36">
        <v>9911.16</v>
      </c>
      <c r="D63" s="17" t="s">
        <v>136</v>
      </c>
      <c r="E63" s="17">
        <v>12.62</v>
      </c>
      <c r="F63" s="17">
        <v>13.18</v>
      </c>
      <c r="H63" s="25"/>
      <c r="I63" s="3" t="s">
        <v>144</v>
      </c>
      <c r="J63" s="25"/>
      <c r="K63" s="25"/>
      <c r="L63" s="87">
        <f>(E63-F63)/F63</f>
        <v>-4.248861911987864E-2</v>
      </c>
      <c r="M63" s="87"/>
      <c r="N63" s="87">
        <f>(C63-F63)/F63</f>
        <v>750.98482549317146</v>
      </c>
      <c r="O63" s="87">
        <f>(B63-F63)/F63</f>
        <v>879.03490136570565</v>
      </c>
    </row>
    <row r="64" spans="1:15" x14ac:dyDescent="0.25">
      <c r="A64" s="17" t="s">
        <v>145</v>
      </c>
      <c r="B64" s="17"/>
      <c r="C64" s="17"/>
      <c r="D64" s="17"/>
      <c r="E64" s="17"/>
      <c r="F64" s="17"/>
      <c r="H64" s="25"/>
      <c r="I64" s="3" t="s">
        <v>145</v>
      </c>
      <c r="J64" s="25"/>
      <c r="K64" s="25"/>
      <c r="L64" s="87"/>
      <c r="M64" s="87"/>
      <c r="N64" s="87"/>
      <c r="O64" s="87"/>
    </row>
    <row r="65" spans="1:15" x14ac:dyDescent="0.25">
      <c r="A65" s="17" t="s">
        <v>146</v>
      </c>
      <c r="B65" s="17" t="s">
        <v>136</v>
      </c>
      <c r="C65" s="17" t="s">
        <v>136</v>
      </c>
      <c r="D65" s="17" t="s">
        <v>136</v>
      </c>
      <c r="E65" s="17" t="s">
        <v>136</v>
      </c>
      <c r="F65" s="17" t="s">
        <v>136</v>
      </c>
      <c r="H65" s="25"/>
      <c r="I65" s="3" t="s">
        <v>146</v>
      </c>
      <c r="J65" s="25"/>
      <c r="K65" s="25"/>
      <c r="L65" s="87"/>
      <c r="M65" s="87"/>
      <c r="N65" s="87"/>
      <c r="O65" s="87"/>
    </row>
    <row r="66" spans="1:15" x14ac:dyDescent="0.25">
      <c r="A66" s="17" t="s">
        <v>147</v>
      </c>
      <c r="B66" s="17">
        <v>77.97</v>
      </c>
      <c r="C66" s="17">
        <v>75.819999999999993</v>
      </c>
      <c r="D66" s="17">
        <v>212.6</v>
      </c>
      <c r="E66" s="17">
        <v>537.55999999999995</v>
      </c>
      <c r="F66" s="17">
        <v>334.1</v>
      </c>
      <c r="H66" s="25"/>
      <c r="I66" s="3" t="s">
        <v>147</v>
      </c>
      <c r="J66" s="25"/>
      <c r="K66" s="25"/>
      <c r="L66" s="87">
        <f>(E66-F66)/F66</f>
        <v>0.608979347500748</v>
      </c>
      <c r="M66" s="87">
        <f>(D66-F66)/F66</f>
        <v>-0.36366357378030534</v>
      </c>
      <c r="N66" s="87">
        <f>(C66-F66)/F66</f>
        <v>-0.77306195749775519</v>
      </c>
      <c r="O66" s="87">
        <f>(B66-F66)/F66</f>
        <v>-0.76662675845555217</v>
      </c>
    </row>
  </sheetData>
  <mergeCells count="1">
    <mergeCell ref="J1:O1"/>
  </mergeCells>
  <conditionalFormatting sqref="L5:O9">
    <cfRule type="colorScale" priority="8">
      <colorScale>
        <cfvo type="min"/>
        <cfvo type="max"/>
        <color rgb="FFFCFCFF"/>
        <color rgb="FF63BE7B"/>
      </colorScale>
    </cfRule>
  </conditionalFormatting>
  <conditionalFormatting sqref="L11:O15">
    <cfRule type="colorScale" priority="7">
      <colorScale>
        <cfvo type="min"/>
        <cfvo type="max"/>
        <color rgb="FFFCFCFF"/>
        <color rgb="FF63BE7B"/>
      </colorScale>
    </cfRule>
  </conditionalFormatting>
  <conditionalFormatting sqref="L18:O22">
    <cfRule type="colorScale" priority="6">
      <colorScale>
        <cfvo type="min"/>
        <cfvo type="max"/>
        <color rgb="FFFCFCFF"/>
        <color rgb="FF63BE7B"/>
      </colorScale>
    </cfRule>
  </conditionalFormatting>
  <conditionalFormatting sqref="L25:O27">
    <cfRule type="colorScale" priority="5">
      <colorScale>
        <cfvo type="min"/>
        <cfvo type="max"/>
        <color rgb="FFFCFCFF"/>
        <color rgb="FF63BE7B"/>
      </colorScale>
    </cfRule>
  </conditionalFormatting>
  <conditionalFormatting sqref="L29:O30">
    <cfRule type="colorScale" priority="4">
      <colorScale>
        <cfvo type="min"/>
        <cfvo type="max"/>
        <color rgb="FFFCFCFF"/>
        <color rgb="FF63BE7B"/>
      </colorScale>
    </cfRule>
  </conditionalFormatting>
  <conditionalFormatting sqref="L32:O34">
    <cfRule type="colorScale" priority="3">
      <colorScale>
        <cfvo type="min"/>
        <cfvo type="max"/>
        <color rgb="FFFCFCFF"/>
        <color rgb="FF63BE7B"/>
      </colorScale>
    </cfRule>
  </conditionalFormatting>
  <conditionalFormatting sqref="L36:O43">
    <cfRule type="colorScale" priority="2">
      <colorScale>
        <cfvo type="min"/>
        <cfvo type="max"/>
        <color rgb="FFFCFCFF"/>
        <color rgb="FF63BE7B"/>
      </colorScale>
    </cfRule>
  </conditionalFormatting>
  <conditionalFormatting sqref="L46:O4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9E36-4480-4AEE-89D0-4352B5893084}">
  <dimension ref="A1:L44"/>
  <sheetViews>
    <sheetView workbookViewId="0">
      <selection activeCell="J11" sqref="J11"/>
    </sheetView>
  </sheetViews>
  <sheetFormatPr defaultRowHeight="15" x14ac:dyDescent="0.25"/>
  <cols>
    <col min="1" max="1" width="55.28515625" bestFit="1" customWidth="1"/>
    <col min="2" max="3" width="11" customWidth="1"/>
    <col min="4" max="5" width="10.7109375" bestFit="1" customWidth="1"/>
    <col min="7" max="7" width="16.28515625" bestFit="1" customWidth="1"/>
    <col min="8" max="8" width="12.5703125" customWidth="1"/>
    <col min="11" max="11" width="17.28515625" bestFit="1" customWidth="1"/>
  </cols>
  <sheetData>
    <row r="1" spans="1:12" x14ac:dyDescent="0.25">
      <c r="A1" s="21" t="s">
        <v>42</v>
      </c>
      <c r="B1" s="21" t="s">
        <v>233</v>
      </c>
      <c r="C1" s="21" t="s">
        <v>234</v>
      </c>
    </row>
    <row r="2" spans="1:12" x14ac:dyDescent="0.25">
      <c r="A2" s="21" t="s">
        <v>148</v>
      </c>
      <c r="B2" s="21" t="s">
        <v>149</v>
      </c>
      <c r="C2" s="21"/>
    </row>
    <row r="3" spans="1:12" x14ac:dyDescent="0.25">
      <c r="A3" s="21" t="s">
        <v>186</v>
      </c>
      <c r="B3" s="21" t="s">
        <v>150</v>
      </c>
      <c r="C3" s="21"/>
      <c r="D3" s="32"/>
      <c r="E3" s="32"/>
      <c r="F3" s="32"/>
      <c r="H3" s="42"/>
    </row>
    <row r="4" spans="1:12" x14ac:dyDescent="0.25">
      <c r="A4" s="21"/>
      <c r="B4" s="21" t="s">
        <v>151</v>
      </c>
      <c r="C4" s="44">
        <v>44986</v>
      </c>
    </row>
    <row r="5" spans="1:12" x14ac:dyDescent="0.25">
      <c r="A5" s="21"/>
      <c r="B5" s="21" t="s">
        <v>82</v>
      </c>
      <c r="C5" s="21" t="s">
        <v>82</v>
      </c>
      <c r="G5" s="40" t="s">
        <v>191</v>
      </c>
      <c r="H5" s="45" t="s">
        <v>192</v>
      </c>
      <c r="K5" t="s">
        <v>189</v>
      </c>
      <c r="L5" s="43">
        <f>AVERAGE(G6:G41)</f>
        <v>-125.9861538461539</v>
      </c>
    </row>
    <row r="6" spans="1:12" x14ac:dyDescent="0.25">
      <c r="A6" t="s">
        <v>152</v>
      </c>
      <c r="D6" s="33"/>
      <c r="E6" s="33"/>
      <c r="F6" s="33"/>
      <c r="G6" s="46">
        <f>+B7-C7</f>
        <v>-618.78000000000065</v>
      </c>
      <c r="H6" s="9">
        <f>+G6/C7</f>
        <v>-0.10800969814607625</v>
      </c>
      <c r="K6" t="s">
        <v>190</v>
      </c>
      <c r="L6" s="12">
        <f>AVERAGE(H6:H41)</f>
        <v>8.9265920241394219E-3</v>
      </c>
    </row>
    <row r="7" spans="1:12" x14ac:dyDescent="0.25">
      <c r="A7" t="s">
        <v>153</v>
      </c>
      <c r="B7" s="33">
        <v>5110.1499999999996</v>
      </c>
      <c r="C7" s="33">
        <v>5728.93</v>
      </c>
      <c r="D7" s="33"/>
      <c r="E7" s="33"/>
      <c r="F7" s="33"/>
      <c r="G7" s="46">
        <f>+B8-C8</f>
        <v>-618.78000000000065</v>
      </c>
      <c r="H7" s="9">
        <f>+G7/C8</f>
        <v>-0.10800969814607625</v>
      </c>
    </row>
    <row r="8" spans="1:12" x14ac:dyDescent="0.25">
      <c r="A8" t="s">
        <v>154</v>
      </c>
      <c r="B8" s="33">
        <v>5110.1499999999996</v>
      </c>
      <c r="C8" s="33">
        <v>5728.93</v>
      </c>
      <c r="G8" s="46">
        <f>+B9-C9</f>
        <v>8.64</v>
      </c>
      <c r="H8" s="9">
        <f>+G8/C9</f>
        <v>0.83883495145631071</v>
      </c>
    </row>
    <row r="9" spans="1:12" x14ac:dyDescent="0.25">
      <c r="A9" t="s">
        <v>155</v>
      </c>
      <c r="B9">
        <v>18.940000000000001</v>
      </c>
      <c r="C9">
        <v>10.3</v>
      </c>
      <c r="D9" s="33"/>
      <c r="E9" s="33"/>
      <c r="F9" s="33"/>
      <c r="G9" s="46">
        <f>+B10-C10</f>
        <v>-610.13999999999942</v>
      </c>
      <c r="H9" s="9">
        <f>+G9/C10</f>
        <v>-0.10631042840241627</v>
      </c>
    </row>
    <row r="10" spans="1:12" x14ac:dyDescent="0.25">
      <c r="A10" t="s">
        <v>156</v>
      </c>
      <c r="B10" s="33">
        <v>5129.09</v>
      </c>
      <c r="C10" s="33">
        <v>5739.23</v>
      </c>
      <c r="G10" s="46">
        <f>+B11-C11</f>
        <v>-69.450000000000017</v>
      </c>
      <c r="H10" s="9">
        <f>+G10/C11</f>
        <v>-0.24816866178309813</v>
      </c>
    </row>
    <row r="11" spans="1:12" x14ac:dyDescent="0.25">
      <c r="A11" t="s">
        <v>157</v>
      </c>
      <c r="B11">
        <v>210.4</v>
      </c>
      <c r="C11">
        <v>279.85000000000002</v>
      </c>
      <c r="D11" s="33"/>
      <c r="E11" s="33"/>
      <c r="F11" s="33"/>
      <c r="G11" s="46">
        <f>+B12-C12</f>
        <v>-679.59000000000015</v>
      </c>
      <c r="H11" s="9">
        <f>+G11/C12</f>
        <v>-0.11290595905022033</v>
      </c>
    </row>
    <row r="12" spans="1:12" x14ac:dyDescent="0.25">
      <c r="A12" t="s">
        <v>158</v>
      </c>
      <c r="B12" s="33">
        <v>5339.49</v>
      </c>
      <c r="C12" s="33">
        <v>6019.08</v>
      </c>
      <c r="G12" s="46"/>
      <c r="H12" s="9"/>
    </row>
    <row r="13" spans="1:12" x14ac:dyDescent="0.25">
      <c r="A13" t="s">
        <v>159</v>
      </c>
      <c r="G13" s="46">
        <f>+B14-C14</f>
        <v>-237.29</v>
      </c>
      <c r="H13" s="9">
        <f>+G13/C14</f>
        <v>-0.6694597263365778</v>
      </c>
    </row>
    <row r="14" spans="1:12" x14ac:dyDescent="0.25">
      <c r="A14" t="s">
        <v>160</v>
      </c>
      <c r="B14">
        <v>117.16</v>
      </c>
      <c r="C14">
        <v>354.45</v>
      </c>
      <c r="D14" s="33"/>
      <c r="E14" s="33"/>
      <c r="F14" s="33"/>
      <c r="G14" s="46">
        <f>+B15-C15</f>
        <v>-912.81</v>
      </c>
      <c r="H14" s="9">
        <f>+G14/C15</f>
        <v>-0.25052214412550117</v>
      </c>
    </row>
    <row r="15" spans="1:12" x14ac:dyDescent="0.25">
      <c r="A15" t="s">
        <v>161</v>
      </c>
      <c r="B15" s="33">
        <v>2730.82</v>
      </c>
      <c r="C15" s="33">
        <v>3643.63</v>
      </c>
      <c r="G15" s="46">
        <f>+B16-C16</f>
        <v>18.5</v>
      </c>
      <c r="H15" s="9">
        <f>+G15/C16</f>
        <v>0.13731166035775255</v>
      </c>
    </row>
    <row r="16" spans="1:12" x14ac:dyDescent="0.25">
      <c r="A16" t="s">
        <v>162</v>
      </c>
      <c r="B16">
        <v>153.22999999999999</v>
      </c>
      <c r="C16">
        <v>134.72999999999999</v>
      </c>
      <c r="G16" s="46">
        <f>+B17-C17</f>
        <v>218.07</v>
      </c>
      <c r="H16" s="9">
        <f>+G16/C17</f>
        <v>0.83937644341801376</v>
      </c>
    </row>
    <row r="17" spans="1:8" x14ac:dyDescent="0.25">
      <c r="A17" t="s">
        <v>163</v>
      </c>
      <c r="B17">
        <v>477.87</v>
      </c>
      <c r="C17">
        <v>259.8</v>
      </c>
      <c r="G17" s="46">
        <f>+B18-C18</f>
        <v>-47.879999999999995</v>
      </c>
      <c r="H17" s="9">
        <f>+G17/C18</f>
        <v>-0.15084115682691698</v>
      </c>
    </row>
    <row r="18" spans="1:8" x14ac:dyDescent="0.25">
      <c r="A18" t="s">
        <v>164</v>
      </c>
      <c r="B18">
        <v>269.54000000000002</v>
      </c>
      <c r="C18">
        <v>317.42</v>
      </c>
      <c r="G18" s="46">
        <f>+B19-C19</f>
        <v>10.120000000000005</v>
      </c>
      <c r="H18" s="9">
        <f>+G18/C19</f>
        <v>2.5335469657520541E-2</v>
      </c>
    </row>
    <row r="19" spans="1:8" x14ac:dyDescent="0.25">
      <c r="A19" t="s">
        <v>165</v>
      </c>
      <c r="B19">
        <v>409.56</v>
      </c>
      <c r="C19">
        <v>399.44</v>
      </c>
      <c r="D19" s="33"/>
      <c r="E19" s="33"/>
      <c r="F19" s="33"/>
      <c r="G19" s="46">
        <f>+B20-C20</f>
        <v>-951.29</v>
      </c>
      <c r="H19" s="9">
        <f>+G19/C20</f>
        <v>-0.18618173704904811</v>
      </c>
    </row>
    <row r="20" spans="1:8" x14ac:dyDescent="0.25">
      <c r="A20" t="s">
        <v>166</v>
      </c>
      <c r="B20" s="33">
        <v>4158.18</v>
      </c>
      <c r="C20" s="33">
        <v>5109.47</v>
      </c>
      <c r="D20" s="32"/>
      <c r="E20" s="32"/>
      <c r="F20" s="32"/>
      <c r="G20" s="46"/>
      <c r="H20" s="9"/>
    </row>
    <row r="21" spans="1:8" x14ac:dyDescent="0.25">
      <c r="B21" s="32">
        <v>45352</v>
      </c>
      <c r="C21" s="32">
        <v>44986</v>
      </c>
      <c r="G21" s="46"/>
      <c r="H21" s="9"/>
    </row>
    <row r="22" spans="1:8" x14ac:dyDescent="0.25">
      <c r="B22" t="s">
        <v>82</v>
      </c>
      <c r="C22" t="s">
        <v>82</v>
      </c>
      <c r="G22" s="46">
        <f>+B23-C23</f>
        <v>271.69999999999993</v>
      </c>
      <c r="H22" s="9">
        <f>+G22/C23</f>
        <v>0.29869944261826487</v>
      </c>
    </row>
    <row r="23" spans="1:8" x14ac:dyDescent="0.25">
      <c r="A23" t="s">
        <v>167</v>
      </c>
      <c r="B23" s="33">
        <v>1181.31</v>
      </c>
      <c r="C23">
        <v>909.61</v>
      </c>
      <c r="G23" s="46">
        <f>+B24-C24</f>
        <v>-120</v>
      </c>
      <c r="H23" s="9">
        <f>+G23/C24</f>
        <v>-1</v>
      </c>
    </row>
    <row r="24" spans="1:8" x14ac:dyDescent="0.25">
      <c r="A24" t="s">
        <v>168</v>
      </c>
      <c r="B24">
        <v>0</v>
      </c>
      <c r="C24">
        <v>120</v>
      </c>
      <c r="G24" s="46">
        <f>+B25-C25</f>
        <v>151.70000000000005</v>
      </c>
      <c r="H24" s="9">
        <f>+G24/C25</f>
        <v>0.14733734132341378</v>
      </c>
    </row>
    <row r="25" spans="1:8" x14ac:dyDescent="0.25">
      <c r="A25" t="s">
        <v>169</v>
      </c>
      <c r="B25" s="33">
        <v>1181.31</v>
      </c>
      <c r="C25" s="33">
        <v>1029.6099999999999</v>
      </c>
      <c r="G25" s="46"/>
      <c r="H25" s="9"/>
    </row>
    <row r="26" spans="1:8" x14ac:dyDescent="0.25">
      <c r="A26" t="s">
        <v>170</v>
      </c>
      <c r="G26" s="46">
        <f>+B27-C27</f>
        <v>53.29000000000002</v>
      </c>
      <c r="H26" s="9">
        <f>+G26/C27</f>
        <v>0.34007657945118075</v>
      </c>
    </row>
    <row r="27" spans="1:8" x14ac:dyDescent="0.25">
      <c r="A27" t="s">
        <v>171</v>
      </c>
      <c r="B27">
        <v>209.99</v>
      </c>
      <c r="C27">
        <v>156.69999999999999</v>
      </c>
      <c r="G27" s="46">
        <f>+B28-C28</f>
        <v>-140.79</v>
      </c>
      <c r="H27" s="9">
        <f>+G27/C28</f>
        <v>-0.86966458706529126</v>
      </c>
    </row>
    <row r="28" spans="1:8" x14ac:dyDescent="0.25">
      <c r="A28" t="s">
        <v>172</v>
      </c>
      <c r="B28">
        <v>21.1</v>
      </c>
      <c r="C28">
        <v>161.88999999999999</v>
      </c>
      <c r="G28" s="46">
        <f>+B29-C29</f>
        <v>-87.499999999999972</v>
      </c>
      <c r="H28" s="9">
        <f>+G28/C29</f>
        <v>-0.27464766627954418</v>
      </c>
    </row>
    <row r="29" spans="1:8" x14ac:dyDescent="0.25">
      <c r="A29" t="s">
        <v>173</v>
      </c>
      <c r="B29">
        <v>231.09</v>
      </c>
      <c r="C29">
        <v>318.58999999999997</v>
      </c>
      <c r="G29" s="46">
        <f>+B30-C30</f>
        <v>239.20000000000005</v>
      </c>
      <c r="H29" s="9">
        <f>+G29/C30</f>
        <v>0.3364181035695199</v>
      </c>
    </row>
    <row r="30" spans="1:8" x14ac:dyDescent="0.25">
      <c r="A30" t="s">
        <v>174</v>
      </c>
      <c r="B30">
        <v>950.22</v>
      </c>
      <c r="C30">
        <v>711.02</v>
      </c>
      <c r="G30" s="46">
        <f>+B31-C31</f>
        <v>239.20000000000005</v>
      </c>
      <c r="H30" s="9">
        <f>+G30/C31</f>
        <v>0.3364181035695199</v>
      </c>
    </row>
    <row r="31" spans="1:8" x14ac:dyDescent="0.25">
      <c r="A31" t="s">
        <v>175</v>
      </c>
      <c r="B31">
        <v>950.22</v>
      </c>
      <c r="C31">
        <v>711.02</v>
      </c>
      <c r="G31" s="46">
        <f>+B32-C32</f>
        <v>239.20000000000005</v>
      </c>
      <c r="H31" s="9">
        <f>+G31/C32</f>
        <v>0.3364181035695199</v>
      </c>
    </row>
    <row r="32" spans="1:8" x14ac:dyDescent="0.25">
      <c r="A32" t="s">
        <v>176</v>
      </c>
      <c r="B32">
        <v>950.22</v>
      </c>
      <c r="C32">
        <v>711.02</v>
      </c>
      <c r="D32" s="32"/>
      <c r="E32" s="32"/>
      <c r="F32" s="32"/>
      <c r="G32" s="46">
        <f>+B33-C33</f>
        <v>366</v>
      </c>
      <c r="H32" s="9">
        <f>+G32/C33</f>
        <v>8.1358644911750325E-3</v>
      </c>
    </row>
    <row r="33" spans="1:10" x14ac:dyDescent="0.25">
      <c r="B33" s="32">
        <v>45352</v>
      </c>
      <c r="C33" s="32">
        <v>44986</v>
      </c>
      <c r="G33" s="46"/>
      <c r="H33" s="9"/>
    </row>
    <row r="34" spans="1:10" x14ac:dyDescent="0.25">
      <c r="B34" t="s">
        <v>82</v>
      </c>
      <c r="C34" t="s">
        <v>82</v>
      </c>
      <c r="G34" s="46"/>
      <c r="H34" s="9"/>
    </row>
    <row r="35" spans="1:10" x14ac:dyDescent="0.25">
      <c r="A35" t="s">
        <v>124</v>
      </c>
      <c r="G35" s="46"/>
      <c r="H35" s="9"/>
    </row>
    <row r="36" spans="1:10" x14ac:dyDescent="0.25">
      <c r="A36" t="s">
        <v>177</v>
      </c>
      <c r="G36" s="46">
        <f>+B37-C37</f>
        <v>1.46</v>
      </c>
      <c r="H36" s="9">
        <f>+G36/C37</f>
        <v>0.33718244803695147</v>
      </c>
    </row>
    <row r="37" spans="1:10" x14ac:dyDescent="0.25">
      <c r="A37" t="s">
        <v>178</v>
      </c>
      <c r="B37">
        <v>5.79</v>
      </c>
      <c r="C37">
        <v>4.33</v>
      </c>
      <c r="G37" s="46">
        <f>+B38-C38</f>
        <v>1.4500000000000002</v>
      </c>
      <c r="H37" s="9">
        <f>+G37/C38</f>
        <v>0.33487297921478065</v>
      </c>
      <c r="J37" s="34"/>
    </row>
    <row r="38" spans="1:10" x14ac:dyDescent="0.25">
      <c r="A38" t="s">
        <v>179</v>
      </c>
      <c r="B38">
        <v>5.78</v>
      </c>
      <c r="C38">
        <v>4.33</v>
      </c>
      <c r="G38" s="46"/>
      <c r="H38" s="9"/>
    </row>
    <row r="39" spans="1:10" x14ac:dyDescent="0.25">
      <c r="A39" t="s">
        <v>180</v>
      </c>
      <c r="G39" s="46"/>
      <c r="H39" s="9"/>
    </row>
    <row r="40" spans="1:10" x14ac:dyDescent="0.25">
      <c r="A40" t="s">
        <v>181</v>
      </c>
      <c r="G40" s="46"/>
      <c r="H40" s="9"/>
    </row>
    <row r="41" spans="1:10" x14ac:dyDescent="0.25">
      <c r="A41" t="s">
        <v>182</v>
      </c>
      <c r="G41" s="46">
        <f>+B42-C42</f>
        <v>0.12999999999999545</v>
      </c>
      <c r="H41" s="9">
        <f>+G41/C42</f>
        <v>3.9536510446761187E-4</v>
      </c>
    </row>
    <row r="42" spans="1:10" x14ac:dyDescent="0.25">
      <c r="A42" t="s">
        <v>183</v>
      </c>
      <c r="B42">
        <v>328.94</v>
      </c>
      <c r="C42">
        <v>328.81</v>
      </c>
      <c r="G42" s="33"/>
      <c r="H42" s="34"/>
    </row>
    <row r="43" spans="1:10" x14ac:dyDescent="0.25">
      <c r="A43" t="s">
        <v>184</v>
      </c>
      <c r="B43">
        <v>0</v>
      </c>
      <c r="C43">
        <v>0</v>
      </c>
      <c r="G43" s="33"/>
      <c r="H43" s="34"/>
    </row>
    <row r="44" spans="1:10" x14ac:dyDescent="0.25">
      <c r="A44" t="s">
        <v>185</v>
      </c>
      <c r="B44">
        <v>20</v>
      </c>
      <c r="C44">
        <v>20</v>
      </c>
    </row>
  </sheetData>
  <conditionalFormatting sqref="G6:G41">
    <cfRule type="colorScale" priority="7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B85536B-DCE9-41D4-96D5-993BD0C5841B}">
            <x14:iconSet custom="1">
              <x14:cfvo type="percent">
                <xm:f>0</xm:f>
              </x14:cfvo>
              <x14:cfvo type="percent" gte="0">
                <xm:f>33</xm:f>
              </x14:cfvo>
              <x14:cfvo type="percent">
                <xm:f>67</xm:f>
              </x14:cfvo>
              <x14:cfIcon iconSet="3Arrows" iconId="0"/>
              <x14:cfIcon iconSet="3Arrows" iconId="0"/>
              <x14:cfIcon iconSet="3Arrows" iconId="2"/>
            </x14:iconSet>
          </x14:cfRule>
          <xm:sqref>H6:H41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72F4-9282-4096-A2F2-71A18D3E5BC6}">
  <dimension ref="A1:Q44"/>
  <sheetViews>
    <sheetView workbookViewId="0">
      <selection activeCell="H9" sqref="H9"/>
    </sheetView>
  </sheetViews>
  <sheetFormatPr defaultRowHeight="15" x14ac:dyDescent="0.25"/>
  <cols>
    <col min="1" max="1" width="55.28515625" bestFit="1" customWidth="1"/>
    <col min="2" max="6" width="11" customWidth="1"/>
    <col min="8" max="8" width="55.28515625" bestFit="1" customWidth="1"/>
    <col min="14" max="15" width="6.85546875" bestFit="1" customWidth="1"/>
    <col min="16" max="16" width="11.7109375" bestFit="1" customWidth="1"/>
  </cols>
  <sheetData>
    <row r="1" spans="1:17" x14ac:dyDescent="0.25">
      <c r="A1" s="21" t="s">
        <v>42</v>
      </c>
      <c r="B1" s="21" t="s">
        <v>233</v>
      </c>
      <c r="C1" s="21" t="s">
        <v>234</v>
      </c>
      <c r="D1" s="21" t="s">
        <v>235</v>
      </c>
      <c r="E1" s="21" t="s">
        <v>236</v>
      </c>
      <c r="F1" s="21" t="s">
        <v>237</v>
      </c>
      <c r="H1" s="21" t="s">
        <v>195</v>
      </c>
    </row>
    <row r="2" spans="1:17" x14ac:dyDescent="0.25">
      <c r="A2" s="21" t="s">
        <v>148</v>
      </c>
      <c r="B2" s="21" t="s">
        <v>149</v>
      </c>
      <c r="C2" s="21"/>
      <c r="D2" s="21"/>
      <c r="E2" s="21"/>
      <c r="F2" s="21"/>
    </row>
    <row r="3" spans="1:17" x14ac:dyDescent="0.25">
      <c r="A3" s="21" t="s">
        <v>186</v>
      </c>
      <c r="B3" s="21" t="s">
        <v>150</v>
      </c>
      <c r="C3" s="21"/>
      <c r="D3" s="21"/>
      <c r="E3" s="21"/>
      <c r="F3" s="21"/>
    </row>
    <row r="4" spans="1:17" x14ac:dyDescent="0.25">
      <c r="A4" s="21"/>
      <c r="B4" s="21" t="s">
        <v>151</v>
      </c>
      <c r="C4" s="44">
        <v>44986</v>
      </c>
      <c r="D4" s="44">
        <v>44621</v>
      </c>
      <c r="E4" s="44">
        <v>44256</v>
      </c>
      <c r="F4" s="44">
        <v>43891</v>
      </c>
      <c r="P4" s="21" t="s">
        <v>193</v>
      </c>
    </row>
    <row r="5" spans="1:17" x14ac:dyDescent="0.25">
      <c r="A5" s="21"/>
      <c r="B5" s="21" t="s">
        <v>82</v>
      </c>
      <c r="C5" s="21" t="s">
        <v>82</v>
      </c>
      <c r="D5" s="21" t="s">
        <v>82</v>
      </c>
      <c r="E5" s="21" t="s">
        <v>82</v>
      </c>
      <c r="F5" s="21" t="s">
        <v>82</v>
      </c>
      <c r="H5" s="85" t="str">
        <f>A6</f>
        <v>INCOME</v>
      </c>
      <c r="I5" s="21">
        <v>2020</v>
      </c>
      <c r="J5" s="21">
        <v>2021</v>
      </c>
      <c r="K5" s="21">
        <v>2022</v>
      </c>
      <c r="L5" s="21">
        <v>2023</v>
      </c>
      <c r="M5" s="21">
        <v>2024</v>
      </c>
      <c r="P5" s="21" t="s">
        <v>194</v>
      </c>
    </row>
    <row r="6" spans="1:17" x14ac:dyDescent="0.25">
      <c r="A6" t="s">
        <v>152</v>
      </c>
      <c r="H6" t="str">
        <f>A7</f>
        <v>Revenue From Operations [Gross]</v>
      </c>
      <c r="I6" s="47">
        <f>F7/F$12</f>
        <v>0.95259414569060852</v>
      </c>
      <c r="J6" s="47">
        <f>E7/E$12</f>
        <v>0.97425285647682047</v>
      </c>
      <c r="K6" s="47">
        <f>D7/D$12</f>
        <v>0.93885042624644799</v>
      </c>
      <c r="L6" s="47">
        <f>C7/C$12</f>
        <v>0.95179495869800701</v>
      </c>
      <c r="M6" s="47">
        <f>B7/B$12</f>
        <v>0.95704833233136499</v>
      </c>
      <c r="P6" s="34">
        <f>M6-L6</f>
        <v>5.2533736333579828E-3</v>
      </c>
      <c r="Q6" s="57"/>
    </row>
    <row r="7" spans="1:17" x14ac:dyDescent="0.25">
      <c r="A7" t="s">
        <v>153</v>
      </c>
      <c r="B7" s="33">
        <v>5110.1499999999996</v>
      </c>
      <c r="C7" s="33">
        <v>5728.93</v>
      </c>
      <c r="D7" s="33">
        <v>3634.29</v>
      </c>
      <c r="E7" s="33">
        <v>2883.73</v>
      </c>
      <c r="F7" s="33">
        <v>4298</v>
      </c>
      <c r="H7" t="str">
        <f>A8</f>
        <v>Revenue From Operations [Net]</v>
      </c>
      <c r="I7" s="47">
        <f>F8/F$12</f>
        <v>0.95259414569060852</v>
      </c>
      <c r="J7" s="47">
        <f>E8/E$12</f>
        <v>0.97425285647682047</v>
      </c>
      <c r="K7" s="47">
        <f>D8/D$12</f>
        <v>0.93885042624644799</v>
      </c>
      <c r="L7" s="47">
        <f>C8/C$12</f>
        <v>0.95179495869800701</v>
      </c>
      <c r="M7" s="47">
        <f>B8/B$12</f>
        <v>0.95704833233136499</v>
      </c>
      <c r="P7" s="34">
        <f t="shared" ref="P7:P42" si="0">M7-L7</f>
        <v>5.2533736333579828E-3</v>
      </c>
      <c r="Q7" s="57"/>
    </row>
    <row r="8" spans="1:17" x14ac:dyDescent="0.25">
      <c r="A8" t="s">
        <v>154</v>
      </c>
      <c r="B8" s="33">
        <v>5110.1499999999996</v>
      </c>
      <c r="C8" s="33">
        <v>5728.93</v>
      </c>
      <c r="D8" s="33">
        <v>3634.29</v>
      </c>
      <c r="E8" s="33">
        <v>2883.73</v>
      </c>
      <c r="F8" s="33">
        <v>4298</v>
      </c>
      <c r="H8" t="str">
        <f>A9</f>
        <v>Other Operating Revenues</v>
      </c>
      <c r="I8" s="47">
        <f>F9/F$12</f>
        <v>3.5439693786860934E-3</v>
      </c>
      <c r="J8" s="47">
        <f>E9/E$12</f>
        <v>4.6622566673648795E-3</v>
      </c>
      <c r="K8" s="47">
        <f>D9/D$12</f>
        <v>2.1828984758460344E-3</v>
      </c>
      <c r="L8" s="47">
        <f>C9/C$12</f>
        <v>1.7112249712580661E-3</v>
      </c>
      <c r="M8" s="47">
        <f>B9/B$12</f>
        <v>3.5471552526552164E-3</v>
      </c>
      <c r="N8" s="57"/>
      <c r="P8" s="34">
        <f t="shared" si="0"/>
        <v>1.8359302813971503E-3</v>
      </c>
      <c r="Q8" s="57"/>
    </row>
    <row r="9" spans="1:17" x14ac:dyDescent="0.25">
      <c r="A9" t="s">
        <v>155</v>
      </c>
      <c r="B9">
        <v>18.940000000000001</v>
      </c>
      <c r="C9">
        <v>10.3</v>
      </c>
      <c r="D9">
        <v>8.4499999999999993</v>
      </c>
      <c r="E9">
        <v>13.8</v>
      </c>
      <c r="F9">
        <v>15.99</v>
      </c>
      <c r="H9" t="str">
        <f>A10</f>
        <v>Total Operating Revenues</v>
      </c>
      <c r="I9" s="47">
        <f>F10/F$12</f>
        <v>0.95613811506929458</v>
      </c>
      <c r="J9" s="47">
        <f>E10/E$12</f>
        <v>0.97891511314418544</v>
      </c>
      <c r="K9" s="47">
        <f>D10/D$12</f>
        <v>0.94103332472229395</v>
      </c>
      <c r="L9" s="47">
        <f>C10/C$12</f>
        <v>0.95350618366926498</v>
      </c>
      <c r="M9" s="47">
        <f>B10/B$12</f>
        <v>0.96059548758402025</v>
      </c>
      <c r="P9" s="34">
        <f>M9-L9</f>
        <v>7.0893039147552628E-3</v>
      </c>
      <c r="Q9" s="57"/>
    </row>
    <row r="10" spans="1:17" x14ac:dyDescent="0.25">
      <c r="A10" t="s">
        <v>156</v>
      </c>
      <c r="B10" s="33">
        <v>5129.09</v>
      </c>
      <c r="C10" s="33">
        <v>5739.23</v>
      </c>
      <c r="D10" s="33">
        <v>3642.74</v>
      </c>
      <c r="E10" s="33">
        <v>2897.53</v>
      </c>
      <c r="F10" s="33">
        <v>4313.99</v>
      </c>
      <c r="H10" t="str">
        <f>A11</f>
        <v>Other Income</v>
      </c>
      <c r="I10" s="47">
        <f>F11/F$12</f>
        <v>4.3861884930705315E-2</v>
      </c>
      <c r="J10" s="47">
        <f>E11/E$12</f>
        <v>2.1084886855814642E-2</v>
      </c>
      <c r="K10" s="47">
        <f>D11/D$12</f>
        <v>5.8966675277706014E-2</v>
      </c>
      <c r="L10" s="47">
        <f>C11/C$12</f>
        <v>4.6493816330734933E-2</v>
      </c>
      <c r="M10" s="47">
        <f>B11/B$12</f>
        <v>3.9404512415979809E-2</v>
      </c>
      <c r="P10" s="34">
        <f>M10-L10</f>
        <v>-7.089303914755124E-3</v>
      </c>
      <c r="Q10" s="57"/>
    </row>
    <row r="11" spans="1:17" x14ac:dyDescent="0.25">
      <c r="A11" t="s">
        <v>157</v>
      </c>
      <c r="B11">
        <v>210.4</v>
      </c>
      <c r="C11">
        <v>279.85000000000002</v>
      </c>
      <c r="D11">
        <v>228.26</v>
      </c>
      <c r="E11">
        <v>62.41</v>
      </c>
      <c r="F11">
        <v>197.9</v>
      </c>
      <c r="H11" t="str">
        <f>A12</f>
        <v>Total Revenue</v>
      </c>
      <c r="I11" s="47">
        <f>F12/F$12</f>
        <v>1</v>
      </c>
      <c r="J11" s="47">
        <f>E12/E$12</f>
        <v>1</v>
      </c>
      <c r="K11" s="47">
        <f>D12/D$12</f>
        <v>1</v>
      </c>
      <c r="L11" s="47">
        <f>C12/C$12</f>
        <v>1</v>
      </c>
      <c r="M11" s="47">
        <f>B12/B$12</f>
        <v>1</v>
      </c>
      <c r="N11" s="57"/>
      <c r="P11" s="34">
        <f>M11-L11</f>
        <v>0</v>
      </c>
      <c r="Q11" s="57"/>
    </row>
    <row r="12" spans="1:17" x14ac:dyDescent="0.25">
      <c r="A12" t="s">
        <v>158</v>
      </c>
      <c r="B12" s="33">
        <v>5339.49</v>
      </c>
      <c r="C12" s="33">
        <v>6019.08</v>
      </c>
      <c r="D12" s="33">
        <v>3871</v>
      </c>
      <c r="E12" s="33">
        <v>2959.94</v>
      </c>
      <c r="F12" s="33">
        <v>4511.8900000000003</v>
      </c>
      <c r="H12" t="str">
        <f>A13</f>
        <v>EXPENSES</v>
      </c>
      <c r="I12" s="47"/>
      <c r="O12" s="34"/>
      <c r="P12" s="34"/>
    </row>
    <row r="13" spans="1:17" x14ac:dyDescent="0.25">
      <c r="A13" t="s">
        <v>159</v>
      </c>
      <c r="H13" t="str">
        <f>A14</f>
        <v>Purchase Of Stock-In Trade</v>
      </c>
      <c r="I13" s="50">
        <f>F14/F$20</f>
        <v>0</v>
      </c>
      <c r="J13" s="50">
        <f>E14/E$20</f>
        <v>0</v>
      </c>
      <c r="K13" s="50">
        <f>D14/D$20</f>
        <v>8.5524678013180824E-3</v>
      </c>
      <c r="L13" s="50">
        <f>C14/C$20</f>
        <v>6.937118722685523E-2</v>
      </c>
      <c r="M13" s="50">
        <f>B14/B$20</f>
        <v>2.8175788445906621E-2</v>
      </c>
      <c r="P13" s="34">
        <f t="shared" si="0"/>
        <v>-4.1195398780948606E-2</v>
      </c>
    </row>
    <row r="14" spans="1:17" x14ac:dyDescent="0.25">
      <c r="A14" t="s">
        <v>160</v>
      </c>
      <c r="B14">
        <v>117.16</v>
      </c>
      <c r="C14">
        <v>354.45</v>
      </c>
      <c r="D14">
        <v>26.11</v>
      </c>
      <c r="E14">
        <v>0</v>
      </c>
      <c r="F14">
        <v>0</v>
      </c>
      <c r="H14" t="str">
        <f>A15</f>
        <v>Cost Of Fuel</v>
      </c>
      <c r="I14" s="50">
        <f>F15/F$20</f>
        <v>0.74783996263719155</v>
      </c>
      <c r="J14" s="50">
        <f>E15/E$20</f>
        <v>0.67043963501998349</v>
      </c>
      <c r="K14" s="50">
        <f>D15/D$20</f>
        <v>0.66856976271897062</v>
      </c>
      <c r="L14" s="50">
        <f>C15/C$20</f>
        <v>0.71311310175027942</v>
      </c>
      <c r="M14" s="50">
        <f>B15/B$20</f>
        <v>0.65673443670067189</v>
      </c>
      <c r="N14" s="57"/>
      <c r="P14" s="34">
        <f t="shared" si="0"/>
        <v>-5.6378665049607535E-2</v>
      </c>
    </row>
    <row r="15" spans="1:17" x14ac:dyDescent="0.25">
      <c r="A15" t="s">
        <v>161</v>
      </c>
      <c r="B15" s="33">
        <v>2730.82</v>
      </c>
      <c r="C15" s="33">
        <v>3643.63</v>
      </c>
      <c r="D15" s="33">
        <v>2041.09</v>
      </c>
      <c r="E15" s="33">
        <v>1778.14</v>
      </c>
      <c r="F15" s="33">
        <v>3074.4</v>
      </c>
      <c r="H15" t="str">
        <f>A16</f>
        <v>Employee Benefit Expenses</v>
      </c>
      <c r="I15" s="50">
        <f>F16/F$20</f>
        <v>2.8875904880516851E-2</v>
      </c>
      <c r="J15" s="50">
        <f>E16/E$20</f>
        <v>4.2349747379533974E-2</v>
      </c>
      <c r="K15" s="50">
        <f>D16/D$20</f>
        <v>4.0649607588800228E-2</v>
      </c>
      <c r="L15" s="50">
        <f>C16/C$20</f>
        <v>2.6368684031807602E-2</v>
      </c>
      <c r="M15" s="50">
        <f>B16/B$20</f>
        <v>3.6850256602648269E-2</v>
      </c>
      <c r="P15" s="34">
        <f t="shared" si="0"/>
        <v>1.0481572570840668E-2</v>
      </c>
    </row>
    <row r="16" spans="1:17" x14ac:dyDescent="0.25">
      <c r="A16" t="s">
        <v>162</v>
      </c>
      <c r="B16">
        <v>153.22999999999999</v>
      </c>
      <c r="C16">
        <v>134.72999999999999</v>
      </c>
      <c r="D16">
        <v>124.1</v>
      </c>
      <c r="E16">
        <v>112.32</v>
      </c>
      <c r="F16">
        <v>118.71</v>
      </c>
      <c r="H16" t="str">
        <f>A17</f>
        <v>Finance Costs</v>
      </c>
      <c r="I16" s="50">
        <f>F17/F$20</f>
        <v>7.83135167743442E-2</v>
      </c>
      <c r="J16" s="50">
        <f>E17/E$20</f>
        <v>7.9217253600784257E-2</v>
      </c>
      <c r="K16" s="50">
        <f>D17/D$20</f>
        <v>4.1599517838659381E-2</v>
      </c>
      <c r="L16" s="50">
        <f>C17/C$20</f>
        <v>5.0846761014351781E-2</v>
      </c>
      <c r="M16" s="50">
        <f>B17/B$20</f>
        <v>0.11492287491161998</v>
      </c>
      <c r="N16" s="34"/>
      <c r="P16" s="34">
        <f>M16-L16</f>
        <v>6.4076113897268194E-2</v>
      </c>
    </row>
    <row r="17" spans="1:17" x14ac:dyDescent="0.25">
      <c r="A17" t="s">
        <v>163</v>
      </c>
      <c r="B17">
        <v>477.87</v>
      </c>
      <c r="C17">
        <v>259.8</v>
      </c>
      <c r="D17">
        <v>127</v>
      </c>
      <c r="E17">
        <v>210.1</v>
      </c>
      <c r="F17">
        <v>321.95</v>
      </c>
      <c r="H17" t="str">
        <f>A18</f>
        <v>Depreciation And Amortisation Expenses</v>
      </c>
      <c r="I17" s="50">
        <f>F18/F$20</f>
        <v>8.9823986144625195E-2</v>
      </c>
      <c r="J17" s="50">
        <f>E18/E$20</f>
        <v>0.13500867204584874</v>
      </c>
      <c r="K17" s="50">
        <f>D18/D$20</f>
        <v>0.10733658268149837</v>
      </c>
      <c r="L17" s="50">
        <f>C18/C$20</f>
        <v>6.2123860204678763E-2</v>
      </c>
      <c r="M17" s="50">
        <f>B18/B$20</f>
        <v>6.4821628693322558E-2</v>
      </c>
      <c r="O17" s="47"/>
      <c r="P17" s="34">
        <f t="shared" si="0"/>
        <v>2.6977684886437953E-3</v>
      </c>
      <c r="Q17" s="34"/>
    </row>
    <row r="18" spans="1:17" x14ac:dyDescent="0.25">
      <c r="A18" t="s">
        <v>164</v>
      </c>
      <c r="B18">
        <v>269.54000000000002</v>
      </c>
      <c r="C18">
        <v>317.42</v>
      </c>
      <c r="D18">
        <v>327.69</v>
      </c>
      <c r="E18">
        <v>358.07</v>
      </c>
      <c r="F18">
        <v>369.27</v>
      </c>
      <c r="H18" t="str">
        <f>A19</f>
        <v>Other Expenses</v>
      </c>
      <c r="I18" s="50">
        <f>F19/F$20</f>
        <v>5.5146629563322176E-2</v>
      </c>
      <c r="J18" s="50">
        <f>E19/E$20</f>
        <v>7.2984691953849642E-2</v>
      </c>
      <c r="K18" s="50">
        <f>D19/D$20</f>
        <v>0.13329206137075325</v>
      </c>
      <c r="L18" s="50">
        <f>C19/C$20</f>
        <v>7.8176405772027238E-2</v>
      </c>
      <c r="M18" s="50">
        <f>B19/B$20</f>
        <v>9.8495014645830617E-2</v>
      </c>
      <c r="N18" s="57"/>
      <c r="P18" s="34">
        <f t="shared" si="0"/>
        <v>2.0318608873803379E-2</v>
      </c>
    </row>
    <row r="19" spans="1:17" x14ac:dyDescent="0.25">
      <c r="A19" t="s">
        <v>165</v>
      </c>
      <c r="B19">
        <v>409.56</v>
      </c>
      <c r="C19">
        <v>399.44</v>
      </c>
      <c r="D19">
        <v>406.93</v>
      </c>
      <c r="E19">
        <v>193.57</v>
      </c>
      <c r="F19">
        <v>226.71</v>
      </c>
      <c r="H19" t="str">
        <f>A20</f>
        <v>Total Expenses</v>
      </c>
      <c r="I19" s="47">
        <f>F20/F$20</f>
        <v>1</v>
      </c>
      <c r="J19" s="47">
        <f>E20/E$20</f>
        <v>1</v>
      </c>
      <c r="K19" s="47">
        <f>D20/D$20</f>
        <v>1</v>
      </c>
      <c r="L19" s="47">
        <f>C20/C$20</f>
        <v>1</v>
      </c>
      <c r="M19" s="47">
        <f>B20/B$20</f>
        <v>1</v>
      </c>
      <c r="O19" s="47"/>
      <c r="P19" s="34">
        <f t="shared" si="0"/>
        <v>0</v>
      </c>
    </row>
    <row r="20" spans="1:17" x14ac:dyDescent="0.25">
      <c r="A20" t="s">
        <v>166</v>
      </c>
      <c r="B20" s="33">
        <v>4158.18</v>
      </c>
      <c r="C20" s="33">
        <v>5109.47</v>
      </c>
      <c r="D20" s="33">
        <v>3052.92</v>
      </c>
      <c r="E20" s="33">
        <v>2652.2</v>
      </c>
      <c r="F20" s="33">
        <v>4111.04</v>
      </c>
      <c r="H20">
        <f>A21</f>
        <v>0</v>
      </c>
      <c r="P20" s="34"/>
    </row>
    <row r="21" spans="1:17" x14ac:dyDescent="0.25">
      <c r="B21" s="32">
        <v>45352</v>
      </c>
      <c r="C21" s="32">
        <v>44986</v>
      </c>
      <c r="D21" s="32">
        <v>44621</v>
      </c>
      <c r="E21" s="32">
        <v>44256</v>
      </c>
      <c r="F21" s="32">
        <v>43891</v>
      </c>
      <c r="H21">
        <f>A22</f>
        <v>0</v>
      </c>
      <c r="P21" s="34"/>
    </row>
    <row r="22" spans="1:17" x14ac:dyDescent="0.25">
      <c r="B22" t="s">
        <v>82</v>
      </c>
      <c r="C22" t="s">
        <v>82</v>
      </c>
      <c r="D22" t="s">
        <v>82</v>
      </c>
      <c r="E22" t="s">
        <v>82</v>
      </c>
      <c r="F22" t="s">
        <v>82</v>
      </c>
      <c r="H22" t="str">
        <f>A23</f>
        <v>Profit/Loss Before Exceptional, ExtraOrdinary Items And Tax</v>
      </c>
      <c r="I22" s="50">
        <f>F23/F$25</f>
        <v>0.94569089579352161</v>
      </c>
      <c r="J22" s="50">
        <f>E23/E$25</f>
        <v>1</v>
      </c>
      <c r="K22" s="50">
        <f>D23/D$25</f>
        <v>1</v>
      </c>
      <c r="L22" s="50">
        <f>C23/C$25</f>
        <v>0.88345101543302818</v>
      </c>
      <c r="M22" s="50">
        <f>B23/B$25</f>
        <v>1</v>
      </c>
      <c r="P22" s="34">
        <f t="shared" si="0"/>
        <v>0.11654898456697182</v>
      </c>
    </row>
    <row r="23" spans="1:17" x14ac:dyDescent="0.25">
      <c r="A23" t="s">
        <v>167</v>
      </c>
      <c r="B23" s="33">
        <v>1181.31</v>
      </c>
      <c r="C23">
        <v>909.61</v>
      </c>
      <c r="D23">
        <v>818.08</v>
      </c>
      <c r="E23">
        <v>307.74</v>
      </c>
      <c r="F23">
        <v>400.85</v>
      </c>
      <c r="H23" t="str">
        <f>A24</f>
        <v>Exceptional Items</v>
      </c>
      <c r="I23" s="50">
        <f>F24/F$25</f>
        <v>5.4309104206478401E-2</v>
      </c>
      <c r="J23" s="50">
        <f>E24/E$25</f>
        <v>0</v>
      </c>
      <c r="K23" s="50">
        <f>D24/D$25</f>
        <v>0</v>
      </c>
      <c r="L23" s="50">
        <f>C24/C$25</f>
        <v>0.11654898456697198</v>
      </c>
      <c r="M23" s="50">
        <f>B24/B$25</f>
        <v>0</v>
      </c>
      <c r="P23" s="34">
        <f t="shared" si="0"/>
        <v>-0.11654898456697198</v>
      </c>
    </row>
    <row r="24" spans="1:17" x14ac:dyDescent="0.25">
      <c r="A24" t="s">
        <v>168</v>
      </c>
      <c r="B24">
        <v>0</v>
      </c>
      <c r="C24">
        <v>120</v>
      </c>
      <c r="D24">
        <v>0</v>
      </c>
      <c r="E24">
        <v>0</v>
      </c>
      <c r="F24">
        <v>23.02</v>
      </c>
      <c r="H24" t="str">
        <f>A25</f>
        <v>Profit/Loss Before Tax</v>
      </c>
      <c r="I24" s="50">
        <f>F25/F$25</f>
        <v>1</v>
      </c>
      <c r="J24" s="50">
        <f>E25/E$25</f>
        <v>1</v>
      </c>
      <c r="K24" s="50">
        <f>D25/D$25</f>
        <v>1</v>
      </c>
      <c r="L24" s="50">
        <f>C25/C$25</f>
        <v>1</v>
      </c>
      <c r="M24" s="50">
        <f>B25/B$25</f>
        <v>1</v>
      </c>
      <c r="P24" s="34">
        <f t="shared" si="0"/>
        <v>0</v>
      </c>
    </row>
    <row r="25" spans="1:17" x14ac:dyDescent="0.25">
      <c r="A25" t="s">
        <v>169</v>
      </c>
      <c r="B25" s="33">
        <v>1181.31</v>
      </c>
      <c r="C25" s="33">
        <v>1029.6099999999999</v>
      </c>
      <c r="D25">
        <v>818.08</v>
      </c>
      <c r="E25">
        <v>307.74</v>
      </c>
      <c r="F25">
        <v>423.87</v>
      </c>
      <c r="H25" t="str">
        <f>A26</f>
        <v>Tax Expenses-Continued Operations</v>
      </c>
      <c r="I25" s="50">
        <f>F26/F$25</f>
        <v>0</v>
      </c>
      <c r="J25" s="50">
        <f>E26/E$25</f>
        <v>0</v>
      </c>
      <c r="K25" s="50">
        <f>D26/D$25</f>
        <v>0</v>
      </c>
      <c r="L25" s="50">
        <f>C26/C$25</f>
        <v>0</v>
      </c>
      <c r="M25" s="50">
        <f>B26/B$25</f>
        <v>0</v>
      </c>
      <c r="P25" s="34">
        <f t="shared" si="0"/>
        <v>0</v>
      </c>
    </row>
    <row r="26" spans="1:17" x14ac:dyDescent="0.25">
      <c r="A26" t="s">
        <v>170</v>
      </c>
      <c r="H26" t="str">
        <f>A27</f>
        <v>Current Tax</v>
      </c>
      <c r="I26" s="50">
        <f>F27/F$25</f>
        <v>1.2975676504588671E-2</v>
      </c>
      <c r="J26" s="50">
        <f>E27/E$25</f>
        <v>0.13046727757197635</v>
      </c>
      <c r="K26" s="50">
        <f>D27/D$25</f>
        <v>0.21375660082143555</v>
      </c>
      <c r="L26" s="50">
        <f>C27/C$25</f>
        <v>0.15219354901370422</v>
      </c>
      <c r="M26" s="50">
        <f>B27/B$25</f>
        <v>0.17776028307556865</v>
      </c>
      <c r="P26" s="34">
        <f t="shared" si="0"/>
        <v>2.5566734061864438E-2</v>
      </c>
    </row>
    <row r="27" spans="1:17" x14ac:dyDescent="0.25">
      <c r="A27" t="s">
        <v>171</v>
      </c>
      <c r="B27">
        <v>209.99</v>
      </c>
      <c r="C27">
        <v>156.69999999999999</v>
      </c>
      <c r="D27">
        <v>174.87</v>
      </c>
      <c r="E27">
        <v>40.15</v>
      </c>
      <c r="F27">
        <v>5.5</v>
      </c>
      <c r="H27" t="str">
        <f>A28</f>
        <v>Deferred Tax</v>
      </c>
      <c r="I27" s="50">
        <f>F28/F$25</f>
        <v>-0.1874159530044589</v>
      </c>
      <c r="J27" s="50">
        <f>E28/E$25</f>
        <v>0.26454149606810945</v>
      </c>
      <c r="K27" s="50">
        <f>D28/D$25</f>
        <v>8.9710052806571475E-2</v>
      </c>
      <c r="L27" s="50">
        <f>C28/C$25</f>
        <v>0.15723429259622576</v>
      </c>
      <c r="M27" s="50">
        <f>B28/B$25</f>
        <v>1.7861526610288579E-2</v>
      </c>
      <c r="P27" s="34">
        <f t="shared" si="0"/>
        <v>-0.13937276598593717</v>
      </c>
    </row>
    <row r="28" spans="1:17" x14ac:dyDescent="0.25">
      <c r="A28" t="s">
        <v>172</v>
      </c>
      <c r="B28">
        <v>21.1</v>
      </c>
      <c r="C28">
        <v>161.88999999999999</v>
      </c>
      <c r="D28">
        <v>73.39</v>
      </c>
      <c r="E28">
        <v>81.41</v>
      </c>
      <c r="F28">
        <v>-79.44</v>
      </c>
      <c r="H28" t="str">
        <f>A29</f>
        <v>Total Tax Expenses</v>
      </c>
      <c r="I28" s="50">
        <f>F29/F$25</f>
        <v>-0.17444027649987023</v>
      </c>
      <c r="J28" s="50">
        <f>E29/E$25</f>
        <v>0.3950087736400858</v>
      </c>
      <c r="K28" s="50">
        <f>D29/D$25</f>
        <v>0.30346665362800701</v>
      </c>
      <c r="L28" s="50">
        <f>C29/C$25</f>
        <v>0.30942784160992998</v>
      </c>
      <c r="M28" s="50">
        <f>B29/B$25</f>
        <v>0.19562180968585724</v>
      </c>
      <c r="N28" s="57"/>
      <c r="P28" s="34">
        <f t="shared" si="0"/>
        <v>-0.11380603192407274</v>
      </c>
    </row>
    <row r="29" spans="1:17" x14ac:dyDescent="0.25">
      <c r="A29" t="s">
        <v>173</v>
      </c>
      <c r="B29">
        <v>231.09</v>
      </c>
      <c r="C29">
        <v>318.58999999999997</v>
      </c>
      <c r="D29">
        <v>248.26</v>
      </c>
      <c r="E29">
        <v>121.56</v>
      </c>
      <c r="F29">
        <v>-73.94</v>
      </c>
      <c r="H29" t="str">
        <f>A30</f>
        <v>Profit/Loss After Tax And Before ExtraOrdinary Items</v>
      </c>
      <c r="I29" s="50">
        <f>F30/F$25</f>
        <v>1.1744402764998703</v>
      </c>
      <c r="J29" s="50">
        <f>E30/E$25</f>
        <v>0.6049912263599142</v>
      </c>
      <c r="K29" s="50">
        <f>D30/D$25</f>
        <v>0.69653334637199293</v>
      </c>
      <c r="L29" s="50">
        <f>C30/C$25</f>
        <v>0.69057215839007002</v>
      </c>
      <c r="M29" s="50">
        <f>B30/B$25</f>
        <v>0.80437819031414282</v>
      </c>
      <c r="P29" s="34">
        <f t="shared" si="0"/>
        <v>0.11380603192407279</v>
      </c>
    </row>
    <row r="30" spans="1:17" x14ac:dyDescent="0.25">
      <c r="A30" t="s">
        <v>174</v>
      </c>
      <c r="B30">
        <v>950.22</v>
      </c>
      <c r="C30">
        <v>711.02</v>
      </c>
      <c r="D30">
        <v>569.82000000000005</v>
      </c>
      <c r="E30">
        <v>186.18</v>
      </c>
      <c r="F30">
        <v>497.81</v>
      </c>
      <c r="H30" t="str">
        <f>A31</f>
        <v>Profit/Loss From Continuing Operations</v>
      </c>
      <c r="I30" s="50">
        <f>F31/F$25</f>
        <v>1.1744402764998703</v>
      </c>
      <c r="J30" s="50">
        <f>E31/E$25</f>
        <v>0.6049912263599142</v>
      </c>
      <c r="K30" s="50">
        <f>D31/D$25</f>
        <v>0.69653334637199293</v>
      </c>
      <c r="L30" s="50">
        <f>C31/C$25</f>
        <v>0.69057215839007002</v>
      </c>
      <c r="M30" s="50">
        <f>B31/B$25</f>
        <v>0.80437819031414282</v>
      </c>
      <c r="P30" s="34">
        <f t="shared" si="0"/>
        <v>0.11380603192407279</v>
      </c>
    </row>
    <row r="31" spans="1:17" x14ac:dyDescent="0.25">
      <c r="A31" t="s">
        <v>175</v>
      </c>
      <c r="B31">
        <v>950.22</v>
      </c>
      <c r="C31">
        <v>711.02</v>
      </c>
      <c r="D31">
        <v>569.82000000000005</v>
      </c>
      <c r="E31">
        <v>186.18</v>
      </c>
      <c r="F31">
        <v>497.81</v>
      </c>
      <c r="H31" t="str">
        <f>A32</f>
        <v>Profit/Loss For The Period</v>
      </c>
      <c r="I31" s="50">
        <f>F32/F$25</f>
        <v>1.1744402764998703</v>
      </c>
      <c r="J31" s="50">
        <f>E32/E$25</f>
        <v>0.6049912263599142</v>
      </c>
      <c r="K31" s="50">
        <f>D32/D$25</f>
        <v>0.69653334637199293</v>
      </c>
      <c r="L31" s="50">
        <f>C32/C$25</f>
        <v>0.69057215839007002</v>
      </c>
      <c r="M31" s="50">
        <f>B32/B$25</f>
        <v>0.80437819031414282</v>
      </c>
      <c r="P31" s="34">
        <f>M31-L31</f>
        <v>0.11380603192407279</v>
      </c>
    </row>
    <row r="32" spans="1:17" x14ac:dyDescent="0.25">
      <c r="A32" t="s">
        <v>176</v>
      </c>
      <c r="B32">
        <v>950.22</v>
      </c>
      <c r="C32">
        <v>711.02</v>
      </c>
      <c r="D32">
        <v>569.82000000000005</v>
      </c>
      <c r="E32">
        <v>186.18</v>
      </c>
      <c r="F32">
        <v>497.81</v>
      </c>
      <c r="L32" s="34"/>
      <c r="M32" s="34"/>
      <c r="N32" s="34"/>
      <c r="O32" s="34"/>
      <c r="P32" s="34"/>
    </row>
    <row r="33" spans="1:16" x14ac:dyDescent="0.25">
      <c r="B33" s="32">
        <v>45352</v>
      </c>
      <c r="C33" s="32">
        <v>44986</v>
      </c>
      <c r="D33" s="32">
        <v>44621</v>
      </c>
      <c r="E33" s="32">
        <v>44256</v>
      </c>
      <c r="F33" s="32">
        <v>43891</v>
      </c>
      <c r="N33" s="34"/>
      <c r="P33" s="34"/>
    </row>
    <row r="34" spans="1:16" x14ac:dyDescent="0.25">
      <c r="B34" t="s">
        <v>82</v>
      </c>
      <c r="C34" t="s">
        <v>82</v>
      </c>
      <c r="D34" t="s">
        <v>82</v>
      </c>
      <c r="E34" t="s">
        <v>82</v>
      </c>
      <c r="F34" t="s">
        <v>82</v>
      </c>
      <c r="H34" t="str">
        <f>A35</f>
        <v>OTHER ADDITIONAL INFORMATION</v>
      </c>
      <c r="I34" s="47">
        <f>F35/F$35</f>
        <v>1</v>
      </c>
      <c r="J34" s="47">
        <f>E35/E$35</f>
        <v>1</v>
      </c>
      <c r="K34" s="47">
        <f>D35/D$35</f>
        <v>1</v>
      </c>
      <c r="L34" s="47">
        <f>C35/C$35</f>
        <v>1</v>
      </c>
      <c r="M34" s="47">
        <f>B35/B$35</f>
        <v>1</v>
      </c>
      <c r="P34" s="34">
        <f t="shared" si="0"/>
        <v>0</v>
      </c>
    </row>
    <row r="35" spans="1:16" x14ac:dyDescent="0.25">
      <c r="A35" t="s">
        <v>124</v>
      </c>
      <c r="B35">
        <f>SUM(B37:B43)</f>
        <v>340.51</v>
      </c>
      <c r="C35">
        <f t="shared" ref="C35:F35" si="1">SUM(C37:C43)</f>
        <v>337.47</v>
      </c>
      <c r="D35">
        <f t="shared" si="1"/>
        <v>335.59000000000003</v>
      </c>
      <c r="E35">
        <f t="shared" si="1"/>
        <v>166.54</v>
      </c>
      <c r="F35">
        <f t="shared" si="1"/>
        <v>203.92000000000002</v>
      </c>
      <c r="H35" t="str">
        <f>A36</f>
        <v>EARNINGS PER SHARE</v>
      </c>
      <c r="I35" s="47">
        <f>F36/F$35</f>
        <v>0</v>
      </c>
      <c r="J35" s="47">
        <f>E36/E$35</f>
        <v>0</v>
      </c>
      <c r="K35" s="47">
        <f>D36/D$35</f>
        <v>0</v>
      </c>
      <c r="L35" s="47">
        <f>C36/C$35</f>
        <v>0</v>
      </c>
      <c r="M35" s="47">
        <f>B36/B$35</f>
        <v>0</v>
      </c>
      <c r="P35" s="34">
        <f t="shared" si="0"/>
        <v>0</v>
      </c>
    </row>
    <row r="36" spans="1:16" x14ac:dyDescent="0.25">
      <c r="A36" t="s">
        <v>177</v>
      </c>
      <c r="H36" t="str">
        <f>A37</f>
        <v>Basic EPS (Rs.)</v>
      </c>
      <c r="I36" s="47">
        <f>F37/F$35</f>
        <v>1.485876814437034E-2</v>
      </c>
      <c r="J36" s="47">
        <f>E37/E$35</f>
        <v>6.7851567191065205E-3</v>
      </c>
      <c r="K36" s="47">
        <f>D37/D$35</f>
        <v>1.0339998212104054E-2</v>
      </c>
      <c r="L36" s="47">
        <f>C37/C$35</f>
        <v>1.2830770142531187E-2</v>
      </c>
      <c r="M36" s="47">
        <f>B37/B$35</f>
        <v>1.7003905905847112E-2</v>
      </c>
      <c r="P36" s="34">
        <f t="shared" si="0"/>
        <v>4.1731357633159258E-3</v>
      </c>
    </row>
    <row r="37" spans="1:16" x14ac:dyDescent="0.25">
      <c r="A37" t="s">
        <v>178</v>
      </c>
      <c r="B37">
        <v>5.79</v>
      </c>
      <c r="C37">
        <v>4.33</v>
      </c>
      <c r="D37">
        <v>3.47</v>
      </c>
      <c r="E37">
        <v>1.1299999999999999</v>
      </c>
      <c r="F37">
        <v>3.03</v>
      </c>
      <c r="H37" t="str">
        <f>A38</f>
        <v>Diluted EPS (Rs.)</v>
      </c>
      <c r="I37" s="47">
        <f>F38/F$35</f>
        <v>1.485876814437034E-2</v>
      </c>
      <c r="J37" s="47">
        <f>E38/E$35</f>
        <v>6.7851567191065205E-3</v>
      </c>
      <c r="K37" s="47">
        <f>D38/D$35</f>
        <v>1.0310199946363121E-2</v>
      </c>
      <c r="L37" s="47">
        <f>C38/C$35</f>
        <v>1.2830770142531187E-2</v>
      </c>
      <c r="M37" s="47">
        <f>B38/B$35</f>
        <v>1.6974538192710935E-2</v>
      </c>
      <c r="P37" s="34">
        <f t="shared" si="0"/>
        <v>4.1437680501797483E-3</v>
      </c>
    </row>
    <row r="38" spans="1:16" x14ac:dyDescent="0.25">
      <c r="A38" t="s">
        <v>179</v>
      </c>
      <c r="B38">
        <v>5.78</v>
      </c>
      <c r="C38">
        <v>4.33</v>
      </c>
      <c r="D38">
        <v>3.46</v>
      </c>
      <c r="E38">
        <v>1.1299999999999999</v>
      </c>
      <c r="F38">
        <v>3.03</v>
      </c>
      <c r="H38" t="str">
        <f>A39</f>
        <v>VALUE OF IMPORTED AND INDIGENIOUS RAW MATERIALS</v>
      </c>
      <c r="I38" s="47">
        <f>F39/F$35</f>
        <v>0</v>
      </c>
      <c r="J38" s="47">
        <f>E39/E$35</f>
        <v>0</v>
      </c>
      <c r="K38" s="47">
        <f>D39/D$35</f>
        <v>0</v>
      </c>
      <c r="L38" s="47">
        <f>C39/C$35</f>
        <v>0</v>
      </c>
      <c r="M38" s="47">
        <f>B39/B$35</f>
        <v>0</v>
      </c>
      <c r="P38" s="34">
        <f t="shared" si="0"/>
        <v>0</v>
      </c>
    </row>
    <row r="39" spans="1:16" x14ac:dyDescent="0.25">
      <c r="A39" t="s">
        <v>180</v>
      </c>
      <c r="H39" t="str">
        <f>A40</f>
        <v>STORES, SPARES AND LOOSE TOOLS</v>
      </c>
      <c r="I39" s="47">
        <f>F40/F$35</f>
        <v>0</v>
      </c>
      <c r="J39" s="47">
        <f>E40/E$35</f>
        <v>0</v>
      </c>
      <c r="K39" s="47">
        <f>D40/D$35</f>
        <v>0</v>
      </c>
      <c r="L39" s="47">
        <f>C40/C$35</f>
        <v>0</v>
      </c>
      <c r="M39" s="47">
        <f>B40/B$35</f>
        <v>0</v>
      </c>
      <c r="P39" s="34">
        <f t="shared" si="0"/>
        <v>0</v>
      </c>
    </row>
    <row r="40" spans="1:16" x14ac:dyDescent="0.25">
      <c r="A40" t="s">
        <v>181</v>
      </c>
      <c r="H40" t="str">
        <f>A41</f>
        <v>DIVIDEND AND DIVIDEND PERCENTAGE</v>
      </c>
      <c r="I40" s="47">
        <f>F41/F$35</f>
        <v>0</v>
      </c>
      <c r="J40" s="47">
        <f>E41/E$35</f>
        <v>0</v>
      </c>
      <c r="K40" s="47">
        <f>D41/D$35</f>
        <v>0</v>
      </c>
      <c r="L40" s="47">
        <f>C41/C$35</f>
        <v>0</v>
      </c>
      <c r="M40" s="47">
        <f>B41/B$35</f>
        <v>0</v>
      </c>
      <c r="P40" s="34">
        <f t="shared" si="0"/>
        <v>0</v>
      </c>
    </row>
    <row r="41" spans="1:16" x14ac:dyDescent="0.25">
      <c r="A41" t="s">
        <v>182</v>
      </c>
      <c r="H41" t="str">
        <f>A42</f>
        <v>Equity Share Dividend</v>
      </c>
      <c r="I41" s="47">
        <f>F42/F$35</f>
        <v>0.80482542173401328</v>
      </c>
      <c r="J41" s="47">
        <f>E42/E$35</f>
        <v>0.98642968656178698</v>
      </c>
      <c r="K41" s="47">
        <f>D42/D$35</f>
        <v>0.97934980184153275</v>
      </c>
      <c r="L41" s="47">
        <f>C42/C$35</f>
        <v>0.9743384597149376</v>
      </c>
      <c r="M41" s="47">
        <f>B42/B$35</f>
        <v>0.96602155590144201</v>
      </c>
      <c r="P41" s="34">
        <f t="shared" si="0"/>
        <v>-8.3169038134955908E-3</v>
      </c>
    </row>
    <row r="42" spans="1:16" x14ac:dyDescent="0.25">
      <c r="A42" t="s">
        <v>183</v>
      </c>
      <c r="B42">
        <v>328.94</v>
      </c>
      <c r="C42">
        <v>328.81</v>
      </c>
      <c r="D42">
        <v>328.66</v>
      </c>
      <c r="E42">
        <v>164.28</v>
      </c>
      <c r="F42">
        <v>164.12</v>
      </c>
      <c r="H42" t="str">
        <f>A43</f>
        <v>Tax On Dividend</v>
      </c>
      <c r="I42" s="47">
        <f>F43/F$35</f>
        <v>0.16545704197724598</v>
      </c>
      <c r="J42" s="47">
        <f>E43/E$35</f>
        <v>0</v>
      </c>
      <c r="K42" s="47">
        <f>D43/D$35</f>
        <v>0</v>
      </c>
      <c r="L42" s="47">
        <f>C43/C$35</f>
        <v>0</v>
      </c>
      <c r="M42" s="47">
        <f>B43/B$35</f>
        <v>0</v>
      </c>
      <c r="P42" s="34">
        <f t="shared" si="0"/>
        <v>0</v>
      </c>
    </row>
    <row r="43" spans="1:16" x14ac:dyDescent="0.25">
      <c r="A43" t="s">
        <v>184</v>
      </c>
      <c r="B43">
        <v>0</v>
      </c>
      <c r="C43">
        <v>0</v>
      </c>
      <c r="D43">
        <v>0</v>
      </c>
      <c r="E43">
        <v>0</v>
      </c>
      <c r="F43">
        <v>33.74</v>
      </c>
      <c r="H43" t="str">
        <f>A44</f>
        <v>Equity Dividend Rate (%)</v>
      </c>
    </row>
    <row r="44" spans="1:16" x14ac:dyDescent="0.25">
      <c r="A44" t="s">
        <v>185</v>
      </c>
      <c r="B44">
        <v>20</v>
      </c>
      <c r="C44">
        <v>20</v>
      </c>
      <c r="D44">
        <v>20</v>
      </c>
      <c r="E44">
        <v>20</v>
      </c>
      <c r="F44">
        <v>10</v>
      </c>
    </row>
  </sheetData>
  <conditionalFormatting sqref="I6:M11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{2DC9EE9A-1878-4903-9FA2-0005AF8F48E6}</x14:id>
        </ext>
      </extLst>
    </cfRule>
  </conditionalFormatting>
  <conditionalFormatting sqref="I13:M19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{A6D62C3B-8206-49A4-B002-F192A408884D}</x14:id>
        </ext>
      </extLst>
    </cfRule>
  </conditionalFormatting>
  <conditionalFormatting sqref="I22:M3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{F63E2F95-50AB-41C2-85A9-9DC1549DCC59}</x14:id>
        </ext>
      </extLst>
    </cfRule>
  </conditionalFormatting>
  <conditionalFormatting sqref="I34:M4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{17F8CE91-3BD1-4ED3-9429-7EEC490E2776}</x14:id>
        </ext>
      </extLst>
    </cfRule>
  </conditionalFormatting>
  <conditionalFormatting sqref="P6:P42">
    <cfRule type="iconSet" priority="2">
      <iconSet iconSet="3Arrows">
        <cfvo type="percent" val="0"/>
        <cfvo type="percent" val="33"/>
        <cfvo type="percent" val="67"/>
      </iconSet>
    </cfRule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C9EE9A-1878-4903-9FA2-0005AF8F48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I6:M11</xm:sqref>
        </x14:conditionalFormatting>
        <x14:conditionalFormatting xmlns:xm="http://schemas.microsoft.com/office/excel/2006/main">
          <x14:cfRule type="dataBar" id="{A6D62C3B-8206-49A4-B002-F192A408884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I13:M19</xm:sqref>
        </x14:conditionalFormatting>
        <x14:conditionalFormatting xmlns:xm="http://schemas.microsoft.com/office/excel/2006/main">
          <x14:cfRule type="dataBar" id="{F63E2F95-50AB-41C2-85A9-9DC1549DCC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I22:M31</xm:sqref>
        </x14:conditionalFormatting>
        <x14:conditionalFormatting xmlns:xm="http://schemas.microsoft.com/office/excel/2006/main">
          <x14:cfRule type="dataBar" id="{17F8CE91-3BD1-4ED3-9429-7EEC490E27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I34:M42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6A783-14C4-4D14-A104-D85B6B6D9EFF}">
  <dimension ref="A1:O68"/>
  <sheetViews>
    <sheetView workbookViewId="0">
      <selection activeCell="O11" sqref="O11"/>
    </sheetView>
  </sheetViews>
  <sheetFormatPr defaultRowHeight="15" x14ac:dyDescent="0.25"/>
  <cols>
    <col min="1" max="1" width="50.85546875" bestFit="1" customWidth="1"/>
    <col min="2" max="6" width="9.5703125" bestFit="1" customWidth="1"/>
    <col min="8" max="8" width="50.85546875" bestFit="1" customWidth="1"/>
    <col min="13" max="13" width="12" bestFit="1" customWidth="1"/>
    <col min="14" max="14" width="8.85546875" customWidth="1"/>
    <col min="15" max="15" width="11.7109375" bestFit="1" customWidth="1"/>
  </cols>
  <sheetData>
    <row r="1" spans="1:15" x14ac:dyDescent="0.25">
      <c r="A1" s="85" t="s">
        <v>81</v>
      </c>
      <c r="B1" s="88" t="s">
        <v>228</v>
      </c>
      <c r="C1" s="88" t="s">
        <v>229</v>
      </c>
      <c r="D1" s="88" t="s">
        <v>230</v>
      </c>
      <c r="E1" s="88" t="s">
        <v>231</v>
      </c>
      <c r="F1" s="88" t="s">
        <v>232</v>
      </c>
      <c r="G1" s="13"/>
      <c r="H1" s="21" t="s">
        <v>196</v>
      </c>
    </row>
    <row r="2" spans="1:15" x14ac:dyDescent="0.25">
      <c r="A2" s="21"/>
      <c r="B2" s="21" t="s">
        <v>82</v>
      </c>
      <c r="C2" s="21" t="s">
        <v>82</v>
      </c>
      <c r="D2" s="21" t="s">
        <v>82</v>
      </c>
      <c r="E2" s="21" t="s">
        <v>82</v>
      </c>
      <c r="F2" s="21" t="s">
        <v>82</v>
      </c>
      <c r="G2" s="13"/>
    </row>
    <row r="3" spans="1:15" x14ac:dyDescent="0.25">
      <c r="A3" t="s">
        <v>83</v>
      </c>
      <c r="H3" t="s">
        <v>83</v>
      </c>
      <c r="O3" s="21" t="s">
        <v>193</v>
      </c>
    </row>
    <row r="4" spans="1:15" x14ac:dyDescent="0.25">
      <c r="A4" t="s">
        <v>84</v>
      </c>
      <c r="H4" t="s">
        <v>84</v>
      </c>
      <c r="I4" s="21">
        <v>2020</v>
      </c>
      <c r="J4" s="21">
        <v>2021</v>
      </c>
      <c r="K4" s="21">
        <v>2022</v>
      </c>
      <c r="L4" s="21">
        <v>2023</v>
      </c>
      <c r="M4" s="21">
        <v>2024</v>
      </c>
      <c r="O4" s="21" t="s">
        <v>194</v>
      </c>
    </row>
    <row r="5" spans="1:15" x14ac:dyDescent="0.25">
      <c r="A5" t="s">
        <v>85</v>
      </c>
      <c r="B5" s="33">
        <v>1641.22</v>
      </c>
      <c r="C5" s="33">
        <v>1640.54</v>
      </c>
      <c r="D5" s="33">
        <v>1639.67</v>
      </c>
      <c r="E5" s="33">
        <v>1642.33</v>
      </c>
      <c r="F5" s="33">
        <v>1641.9</v>
      </c>
      <c r="H5" t="s">
        <v>85</v>
      </c>
      <c r="I5" s="47">
        <f t="shared" ref="I5:I7" si="0">F5/F$9</f>
        <v>0.17466649645752216</v>
      </c>
      <c r="J5" s="47">
        <f t="shared" ref="J5:J8" si="1">E5/E$9</f>
        <v>0.14118655403813848</v>
      </c>
      <c r="K5" s="47">
        <f t="shared" ref="K5:K8" si="2">D5/D$9</f>
        <v>0.12156770867701042</v>
      </c>
      <c r="L5" s="47">
        <f t="shared" ref="L5:L8" si="3">C5/C$9</f>
        <v>0.12054453499453686</v>
      </c>
      <c r="M5" s="47">
        <f t="shared" ref="M5:M8" si="4">B5/B$9</f>
        <v>0.10860339927408923</v>
      </c>
      <c r="O5" s="34">
        <f>M5-L5</f>
        <v>-1.1941135720447638E-2</v>
      </c>
    </row>
    <row r="6" spans="1:15" x14ac:dyDescent="0.25">
      <c r="A6" t="s">
        <v>86</v>
      </c>
      <c r="B6" s="33">
        <v>1641.22</v>
      </c>
      <c r="C6" s="33">
        <v>1640.54</v>
      </c>
      <c r="D6" s="33">
        <v>1639.67</v>
      </c>
      <c r="E6" s="33">
        <v>1642.33</v>
      </c>
      <c r="F6" s="33">
        <v>1641.9</v>
      </c>
      <c r="H6" t="s">
        <v>86</v>
      </c>
      <c r="I6" s="47">
        <f>F6/F$9</f>
        <v>0.17466649645752216</v>
      </c>
      <c r="J6" s="47">
        <f t="shared" si="1"/>
        <v>0.14118655403813848</v>
      </c>
      <c r="K6" s="47">
        <f t="shared" si="2"/>
        <v>0.12156770867701042</v>
      </c>
      <c r="L6" s="47">
        <f t="shared" si="3"/>
        <v>0.12054453499453686</v>
      </c>
      <c r="M6" s="47">
        <f t="shared" si="4"/>
        <v>0.10860339927408923</v>
      </c>
      <c r="N6" s="57"/>
      <c r="O6" s="34">
        <f t="shared" ref="O6:O66" si="5">M6-L6</f>
        <v>-1.1941135720447638E-2</v>
      </c>
    </row>
    <row r="7" spans="1:15" x14ac:dyDescent="0.25">
      <c r="A7" t="s">
        <v>87</v>
      </c>
      <c r="B7" s="33">
        <v>13470.83</v>
      </c>
      <c r="C7" s="33">
        <v>11968.87</v>
      </c>
      <c r="D7" s="33">
        <v>11848.04</v>
      </c>
      <c r="E7" s="33">
        <v>9990.01</v>
      </c>
      <c r="F7" s="33">
        <v>7758.3</v>
      </c>
      <c r="H7" t="s">
        <v>87</v>
      </c>
      <c r="I7" s="47">
        <f t="shared" si="0"/>
        <v>0.82533350354247781</v>
      </c>
      <c r="J7" s="47">
        <f t="shared" si="1"/>
        <v>0.85881344596186149</v>
      </c>
      <c r="K7" s="47">
        <f t="shared" si="2"/>
        <v>0.87843229132298972</v>
      </c>
      <c r="L7" s="47">
        <f t="shared" si="3"/>
        <v>0.87945546500546323</v>
      </c>
      <c r="M7" s="47">
        <f t="shared" si="4"/>
        <v>0.89139660072591087</v>
      </c>
      <c r="O7" s="34">
        <f t="shared" si="5"/>
        <v>1.1941135720447638E-2</v>
      </c>
    </row>
    <row r="8" spans="1:15" x14ac:dyDescent="0.25">
      <c r="A8" t="s">
        <v>88</v>
      </c>
      <c r="B8" s="33">
        <v>13470.83</v>
      </c>
      <c r="C8" s="33">
        <v>11968.87</v>
      </c>
      <c r="D8" s="33">
        <v>11848.04</v>
      </c>
      <c r="E8" s="33">
        <v>9990.01</v>
      </c>
      <c r="F8" s="33">
        <v>7758.3</v>
      </c>
      <c r="H8" t="s">
        <v>88</v>
      </c>
      <c r="I8" s="47">
        <f>F8/F$9</f>
        <v>0.82533350354247781</v>
      </c>
      <c r="J8" s="47">
        <f t="shared" si="1"/>
        <v>0.85881344596186149</v>
      </c>
      <c r="K8" s="47">
        <f t="shared" si="2"/>
        <v>0.87843229132298972</v>
      </c>
      <c r="L8" s="47">
        <f t="shared" si="3"/>
        <v>0.87945546500546323</v>
      </c>
      <c r="M8" s="47">
        <f t="shared" si="4"/>
        <v>0.89139660072591087</v>
      </c>
      <c r="O8" s="34">
        <f t="shared" si="5"/>
        <v>1.1941135720447638E-2</v>
      </c>
    </row>
    <row r="9" spans="1:15" x14ac:dyDescent="0.25">
      <c r="A9" t="s">
        <v>89</v>
      </c>
      <c r="B9" s="33">
        <v>15112.05</v>
      </c>
      <c r="C9" s="33">
        <v>13609.41</v>
      </c>
      <c r="D9" s="33">
        <v>13487.71</v>
      </c>
      <c r="E9" s="33">
        <v>11632.34</v>
      </c>
      <c r="F9" s="33">
        <v>9400.2000000000007</v>
      </c>
      <c r="H9" s="19" t="s">
        <v>89</v>
      </c>
      <c r="I9" s="47">
        <f>F9/F$9</f>
        <v>1</v>
      </c>
      <c r="J9" s="47">
        <f>E9/E$9</f>
        <v>1</v>
      </c>
      <c r="K9" s="47">
        <f>D9/D$9</f>
        <v>1</v>
      </c>
      <c r="L9" s="47">
        <f>C9/C$9</f>
        <v>1</v>
      </c>
      <c r="M9" s="47">
        <f>B9/B$9</f>
        <v>1</v>
      </c>
      <c r="O9" s="34">
        <f t="shared" si="5"/>
        <v>0</v>
      </c>
    </row>
    <row r="10" spans="1:15" x14ac:dyDescent="0.25">
      <c r="A10" t="s">
        <v>90</v>
      </c>
      <c r="H10" t="s">
        <v>90</v>
      </c>
      <c r="O10" s="34"/>
    </row>
    <row r="11" spans="1:15" x14ac:dyDescent="0.25">
      <c r="A11" t="s">
        <v>91</v>
      </c>
      <c r="B11" s="33">
        <v>4441.46</v>
      </c>
      <c r="C11" s="33">
        <v>3136.36</v>
      </c>
      <c r="D11">
        <v>674.94</v>
      </c>
      <c r="E11">
        <v>710.51</v>
      </c>
      <c r="F11" s="33">
        <v>1333.08</v>
      </c>
      <c r="H11" t="s">
        <v>91</v>
      </c>
      <c r="I11" s="48">
        <f t="shared" ref="I11:I14" si="6">F11/F$15</f>
        <v>0.79096232919383636</v>
      </c>
      <c r="J11" s="48">
        <f t="shared" ref="J11:J14" si="7">E11/E$15</f>
        <v>0.5468448152452493</v>
      </c>
      <c r="K11" s="48">
        <f t="shared" ref="K11:K14" si="8">D11/D$15</f>
        <v>0.43361279753300574</v>
      </c>
      <c r="L11" s="48">
        <f t="shared" ref="L11:L14" si="9">C11/C$15</f>
        <v>0.75561284105282178</v>
      </c>
      <c r="M11" s="48">
        <f t="shared" ref="M11:M14" si="10">B11/B$15</f>
        <v>0.79462338466272697</v>
      </c>
      <c r="N11" s="5"/>
      <c r="O11" s="34">
        <f t="shared" si="5"/>
        <v>3.9010543609905191E-2</v>
      </c>
    </row>
    <row r="12" spans="1:15" x14ac:dyDescent="0.25">
      <c r="A12" t="s">
        <v>92</v>
      </c>
      <c r="B12" s="33">
        <v>1104.43</v>
      </c>
      <c r="C12">
        <v>967.5</v>
      </c>
      <c r="D12">
        <v>841.95</v>
      </c>
      <c r="E12">
        <v>559.16999999999996</v>
      </c>
      <c r="F12">
        <v>325.89999999999998</v>
      </c>
      <c r="H12" t="s">
        <v>92</v>
      </c>
      <c r="I12" s="48">
        <f t="shared" si="6"/>
        <v>0.19336770717756718</v>
      </c>
      <c r="J12" s="48">
        <f t="shared" si="7"/>
        <v>0.43036581517598071</v>
      </c>
      <c r="K12" s="48">
        <f t="shared" si="8"/>
        <v>0.54090777681410818</v>
      </c>
      <c r="L12" s="48">
        <f t="shared" si="9"/>
        <v>0.23309040534843101</v>
      </c>
      <c r="M12" s="48">
        <f t="shared" si="10"/>
        <v>0.19759401294237833</v>
      </c>
      <c r="O12" s="34">
        <f t="shared" si="5"/>
        <v>-3.5496392406052679E-2</v>
      </c>
    </row>
    <row r="13" spans="1:15" x14ac:dyDescent="0.25">
      <c r="A13" t="s">
        <v>93</v>
      </c>
      <c r="B13">
        <v>19.690000000000001</v>
      </c>
      <c r="C13">
        <v>24.67</v>
      </c>
      <c r="D13">
        <v>9.86</v>
      </c>
      <c r="E13">
        <v>7.35</v>
      </c>
      <c r="F13">
        <v>6.51</v>
      </c>
      <c r="H13" t="s">
        <v>93</v>
      </c>
      <c r="I13" s="48">
        <f t="shared" si="6"/>
        <v>3.8626074677077706E-3</v>
      </c>
      <c r="J13" s="48">
        <f t="shared" si="7"/>
        <v>5.6569357110421844E-3</v>
      </c>
      <c r="K13" s="48">
        <f t="shared" si="8"/>
        <v>6.3345218592399857E-3</v>
      </c>
      <c r="L13" s="48">
        <f t="shared" si="9"/>
        <v>5.9435041859904839E-3</v>
      </c>
      <c r="M13" s="48">
        <f t="shared" si="10"/>
        <v>3.5227457736890788E-3</v>
      </c>
      <c r="O13" s="34">
        <f t="shared" si="5"/>
        <v>-2.4207584123014051E-3</v>
      </c>
    </row>
    <row r="14" spans="1:15" x14ac:dyDescent="0.25">
      <c r="A14" t="s">
        <v>94</v>
      </c>
      <c r="B14">
        <v>23.81</v>
      </c>
      <c r="C14">
        <v>22.22</v>
      </c>
      <c r="D14">
        <v>29.8</v>
      </c>
      <c r="E14">
        <v>22.26</v>
      </c>
      <c r="F14">
        <v>19.899999999999999</v>
      </c>
      <c r="H14" t="s">
        <v>94</v>
      </c>
      <c r="I14" s="48">
        <f t="shared" si="6"/>
        <v>1.1807356160888577E-2</v>
      </c>
      <c r="J14" s="48">
        <f t="shared" si="7"/>
        <v>1.713243386772776E-2</v>
      </c>
      <c r="K14" s="48">
        <f t="shared" si="8"/>
        <v>1.9144903793646206E-2</v>
      </c>
      <c r="L14" s="48">
        <f t="shared" si="9"/>
        <v>5.3532494127567307E-3</v>
      </c>
      <c r="M14" s="48">
        <f t="shared" si="10"/>
        <v>4.2598566212055334E-3</v>
      </c>
      <c r="O14" s="34">
        <f t="shared" si="5"/>
        <v>-1.0933927915511973E-3</v>
      </c>
    </row>
    <row r="15" spans="1:15" x14ac:dyDescent="0.25">
      <c r="A15" t="s">
        <v>95</v>
      </c>
      <c r="B15" s="33">
        <v>5589.39</v>
      </c>
      <c r="C15" s="33">
        <v>4150.75</v>
      </c>
      <c r="D15" s="33">
        <v>1556.55</v>
      </c>
      <c r="E15" s="33">
        <v>1299.29</v>
      </c>
      <c r="F15" s="33">
        <v>1685.39</v>
      </c>
      <c r="H15" t="s">
        <v>95</v>
      </c>
      <c r="I15" s="48">
        <f>F15/F$15</f>
        <v>1</v>
      </c>
      <c r="J15" s="48">
        <f>E15/E$15</f>
        <v>1</v>
      </c>
      <c r="K15" s="48">
        <f>D15/D$15</f>
        <v>1</v>
      </c>
      <c r="L15" s="48">
        <f>C15/C$15</f>
        <v>1</v>
      </c>
      <c r="M15" s="48">
        <f>B15/B$15</f>
        <v>1</v>
      </c>
      <c r="N15" s="5"/>
      <c r="O15" s="34">
        <f t="shared" si="5"/>
        <v>0</v>
      </c>
    </row>
    <row r="16" spans="1:15" x14ac:dyDescent="0.25">
      <c r="A16" t="s">
        <v>96</v>
      </c>
      <c r="H16" t="s">
        <v>96</v>
      </c>
      <c r="O16" s="34"/>
    </row>
    <row r="17" spans="1:15" x14ac:dyDescent="0.25">
      <c r="A17" t="s">
        <v>97</v>
      </c>
      <c r="B17" s="33">
        <v>2563.52</v>
      </c>
      <c r="C17" s="33">
        <v>3137.26</v>
      </c>
      <c r="D17">
        <v>596.74</v>
      </c>
      <c r="E17">
        <v>199.35</v>
      </c>
      <c r="F17">
        <v>0</v>
      </c>
      <c r="H17" t="s">
        <v>97</v>
      </c>
      <c r="I17" s="49">
        <f t="shared" ref="I17:I21" si="11">F17/F$22</f>
        <v>0</v>
      </c>
      <c r="J17" s="49">
        <f t="shared" ref="J17:J21" si="12">E17/E$22</f>
        <v>1.3546194664287447E-2</v>
      </c>
      <c r="K17" s="49">
        <f t="shared" ref="K17:K21" si="13">D17/D$22</f>
        <v>3.5792001650628229E-2</v>
      </c>
      <c r="L17" s="49">
        <f t="shared" ref="L17:L21" si="14">C17/C$22</f>
        <v>0.14293107894226101</v>
      </c>
      <c r="M17" s="49">
        <f t="shared" ref="M17:M21" si="15">B17/B$22</f>
        <v>0.10416629418753769</v>
      </c>
      <c r="N17" s="34"/>
      <c r="O17" s="34">
        <f t="shared" si="5"/>
        <v>-3.8764784754723322E-2</v>
      </c>
    </row>
    <row r="18" spans="1:15" x14ac:dyDescent="0.25">
      <c r="A18" t="s">
        <v>98</v>
      </c>
      <c r="B18" s="33">
        <v>1011.36</v>
      </c>
      <c r="C18">
        <v>900.51</v>
      </c>
      <c r="D18">
        <v>883.99</v>
      </c>
      <c r="E18">
        <v>717.68</v>
      </c>
      <c r="F18" s="33">
        <v>1265.9100000000001</v>
      </c>
      <c r="H18" t="s">
        <v>98</v>
      </c>
      <c r="I18" s="49">
        <f t="shared" si="11"/>
        <v>9.338759936969955E-2</v>
      </c>
      <c r="J18" s="49">
        <f t="shared" si="12"/>
        <v>4.8767659827769323E-2</v>
      </c>
      <c r="K18" s="49">
        <f t="shared" si="13"/>
        <v>5.3021033513990755E-2</v>
      </c>
      <c r="L18" s="49">
        <f t="shared" si="14"/>
        <v>4.1026521836983687E-2</v>
      </c>
      <c r="M18" s="49">
        <f t="shared" si="15"/>
        <v>4.1095690023681547E-2</v>
      </c>
      <c r="O18" s="34">
        <f t="shared" si="5"/>
        <v>6.9168186697859957E-5</v>
      </c>
    </row>
    <row r="19" spans="1:15" x14ac:dyDescent="0.25">
      <c r="A19" t="s">
        <v>99</v>
      </c>
      <c r="B19">
        <v>324.33</v>
      </c>
      <c r="C19">
        <v>142.63999999999999</v>
      </c>
      <c r="D19">
        <v>141.07</v>
      </c>
      <c r="E19">
        <v>861.78</v>
      </c>
      <c r="F19" s="33">
        <v>1199.73</v>
      </c>
      <c r="H19" t="s">
        <v>99</v>
      </c>
      <c r="I19" s="49">
        <f t="shared" si="11"/>
        <v>8.8505426603636625E-2</v>
      </c>
      <c r="J19" s="49">
        <f t="shared" si="12"/>
        <v>5.8559516617956539E-2</v>
      </c>
      <c r="K19" s="49">
        <f t="shared" si="13"/>
        <v>8.4612690164127154E-3</v>
      </c>
      <c r="L19" s="49">
        <f t="shared" si="14"/>
        <v>6.4985653405596304E-3</v>
      </c>
      <c r="M19" s="49">
        <f t="shared" si="15"/>
        <v>1.3178853371085108E-2</v>
      </c>
      <c r="O19" s="34">
        <f t="shared" si="5"/>
        <v>6.6802880305254775E-3</v>
      </c>
    </row>
    <row r="20" spans="1:15" x14ac:dyDescent="0.25">
      <c r="A20" t="s">
        <v>100</v>
      </c>
      <c r="B20">
        <v>9.23</v>
      </c>
      <c r="C20">
        <v>8.89</v>
      </c>
      <c r="D20">
        <v>6.38</v>
      </c>
      <c r="E20">
        <v>5.87</v>
      </c>
      <c r="F20">
        <v>4.21</v>
      </c>
      <c r="H20" t="s">
        <v>100</v>
      </c>
      <c r="I20" s="49">
        <f t="shared" si="11"/>
        <v>3.1057641802848153E-4</v>
      </c>
      <c r="J20" s="49">
        <f t="shared" si="12"/>
        <v>3.9887716418042296E-4</v>
      </c>
      <c r="K20" s="49">
        <f t="shared" si="13"/>
        <v>3.8266744399739934E-4</v>
      </c>
      <c r="L20" s="49">
        <f t="shared" si="14"/>
        <v>4.0502135360049864E-4</v>
      </c>
      <c r="M20" s="49">
        <f t="shared" si="15"/>
        <v>3.7505262114240299E-4</v>
      </c>
      <c r="O20" s="34">
        <f t="shared" si="5"/>
        <v>-2.9968732458095649E-5</v>
      </c>
    </row>
    <row r="21" spans="1:15" x14ac:dyDescent="0.25">
      <c r="A21" t="s">
        <v>101</v>
      </c>
      <c r="B21" s="33">
        <v>3908.44</v>
      </c>
      <c r="C21" s="33">
        <v>4189.3</v>
      </c>
      <c r="D21" s="33">
        <v>1628.18</v>
      </c>
      <c r="E21" s="33">
        <v>1784.68</v>
      </c>
      <c r="F21" s="33">
        <v>2469.85</v>
      </c>
      <c r="H21" t="s">
        <v>101</v>
      </c>
      <c r="I21" s="49">
        <f t="shared" si="11"/>
        <v>0.18220360239136463</v>
      </c>
      <c r="J21" s="49">
        <f t="shared" si="12"/>
        <v>0.12127224827419374</v>
      </c>
      <c r="K21" s="49">
        <f t="shared" si="13"/>
        <v>9.7656971625029107E-2</v>
      </c>
      <c r="L21" s="49">
        <f t="shared" si="14"/>
        <v>0.19086118747340483</v>
      </c>
      <c r="M21" s="49">
        <f t="shared" si="15"/>
        <v>0.15881589020344675</v>
      </c>
      <c r="O21" s="34">
        <f t="shared" si="5"/>
        <v>-3.2045297269958084E-2</v>
      </c>
    </row>
    <row r="22" spans="1:15" x14ac:dyDescent="0.25">
      <c r="A22" t="s">
        <v>102</v>
      </c>
      <c r="B22" s="33">
        <v>24609.88</v>
      </c>
      <c r="C22" s="33">
        <v>21949.46</v>
      </c>
      <c r="D22" s="33">
        <v>16672.439999999999</v>
      </c>
      <c r="E22" s="33">
        <v>14716.31</v>
      </c>
      <c r="F22" s="33">
        <v>13555.44</v>
      </c>
      <c r="H22" s="19" t="s">
        <v>102</v>
      </c>
      <c r="I22" s="49">
        <f>F22/F$22</f>
        <v>1</v>
      </c>
      <c r="J22" s="49">
        <f>E22/E$22</f>
        <v>1</v>
      </c>
      <c r="K22" s="49">
        <f>D22/D$22</f>
        <v>1</v>
      </c>
      <c r="L22" s="49">
        <f>C22/C$22</f>
        <v>1</v>
      </c>
      <c r="M22" s="49">
        <f>B22/B$22</f>
        <v>1</v>
      </c>
      <c r="O22" s="34">
        <f t="shared" si="5"/>
        <v>0</v>
      </c>
    </row>
    <row r="23" spans="1:15" x14ac:dyDescent="0.25">
      <c r="A23" t="s">
        <v>103</v>
      </c>
      <c r="H23" t="s">
        <v>103</v>
      </c>
      <c r="O23" s="34"/>
    </row>
    <row r="24" spans="1:15" x14ac:dyDescent="0.25">
      <c r="A24" t="s">
        <v>104</v>
      </c>
      <c r="H24" t="s">
        <v>104</v>
      </c>
      <c r="O24" s="34"/>
    </row>
    <row r="25" spans="1:15" x14ac:dyDescent="0.25">
      <c r="A25" t="s">
        <v>105</v>
      </c>
      <c r="B25" s="33">
        <v>3509.64</v>
      </c>
      <c r="C25" s="33">
        <v>3706.42</v>
      </c>
      <c r="D25" s="33">
        <v>3954.46</v>
      </c>
      <c r="E25" s="33">
        <v>4178.8999999999996</v>
      </c>
      <c r="F25" s="33">
        <v>4507.17</v>
      </c>
      <c r="H25" t="s">
        <v>105</v>
      </c>
      <c r="I25" s="49">
        <f t="shared" ref="I25:I33" si="16">F25/F$34</f>
        <v>0.40733390269361641</v>
      </c>
      <c r="J25" s="49">
        <f t="shared" ref="J25:J33" si="17">E25/E$34</f>
        <v>0.31730640732821458</v>
      </c>
      <c r="K25" s="49">
        <f t="shared" ref="K25:K33" si="18">D25/D$34</f>
        <v>0.33171855352638552</v>
      </c>
      <c r="L25" s="49">
        <f t="shared" ref="L25:L33" si="19">C25/C$34</f>
        <v>0.18800991784501947</v>
      </c>
      <c r="M25" s="49">
        <f t="shared" ref="M25:M33" si="20">B25/B$34</f>
        <v>0.15703185612795784</v>
      </c>
      <c r="N25" s="34"/>
      <c r="O25" s="34">
        <f t="shared" si="5"/>
        <v>-3.0978061717061633E-2</v>
      </c>
    </row>
    <row r="26" spans="1:15" x14ac:dyDescent="0.25">
      <c r="A26" t="s">
        <v>106</v>
      </c>
      <c r="B26">
        <v>1.71</v>
      </c>
      <c r="C26">
        <v>2.21</v>
      </c>
      <c r="D26">
        <v>2.2000000000000002</v>
      </c>
      <c r="E26">
        <v>1.22</v>
      </c>
      <c r="F26">
        <v>0.76</v>
      </c>
      <c r="H26" t="s">
        <v>106</v>
      </c>
      <c r="I26" s="49">
        <f t="shared" si="16"/>
        <v>6.8684732558822598E-5</v>
      </c>
      <c r="J26" s="49">
        <f t="shared" si="17"/>
        <v>9.2635338711245015E-5</v>
      </c>
      <c r="K26" s="49">
        <f t="shared" si="18"/>
        <v>1.8454626365118075E-4</v>
      </c>
      <c r="L26" s="49">
        <f t="shared" si="19"/>
        <v>1.12103301416864E-4</v>
      </c>
      <c r="M26" s="49">
        <f>B26/B$34</f>
        <v>7.6510546374787127E-5</v>
      </c>
      <c r="N26" s="34"/>
      <c r="O26" s="34">
        <f t="shared" si="5"/>
        <v>-3.5592755042076869E-5</v>
      </c>
    </row>
    <row r="27" spans="1:15" x14ac:dyDescent="0.25">
      <c r="A27" t="s">
        <v>107</v>
      </c>
      <c r="B27">
        <v>17.559999999999999</v>
      </c>
      <c r="C27">
        <v>15.53</v>
      </c>
      <c r="D27">
        <v>23.44</v>
      </c>
      <c r="E27">
        <v>33.85</v>
      </c>
      <c r="F27">
        <v>108.85</v>
      </c>
      <c r="H27" t="s">
        <v>107</v>
      </c>
      <c r="I27" s="49">
        <f t="shared" si="16"/>
        <v>9.8372804460892631E-3</v>
      </c>
      <c r="J27" s="49">
        <f t="shared" si="17"/>
        <v>2.5702509962095442E-3</v>
      </c>
      <c r="K27" s="49">
        <f t="shared" si="18"/>
        <v>1.9662565545380348E-3</v>
      </c>
      <c r="L27" s="49">
        <f t="shared" si="19"/>
        <v>7.8776663846330216E-4</v>
      </c>
      <c r="M27" s="49">
        <f>B27/B$34</f>
        <v>7.8568724815278475E-4</v>
      </c>
      <c r="N27" s="34"/>
      <c r="O27" s="34">
        <f t="shared" si="5"/>
        <v>-2.0793903105174047E-6</v>
      </c>
    </row>
    <row r="28" spans="1:15" x14ac:dyDescent="0.25">
      <c r="A28" t="s">
        <v>108</v>
      </c>
      <c r="B28">
        <v>0</v>
      </c>
      <c r="C28">
        <v>0</v>
      </c>
      <c r="D28">
        <v>0</v>
      </c>
      <c r="E28">
        <v>0</v>
      </c>
      <c r="F28">
        <v>0</v>
      </c>
      <c r="H28" t="s">
        <v>108</v>
      </c>
      <c r="I28" s="49">
        <f t="shared" si="16"/>
        <v>0</v>
      </c>
      <c r="J28" s="49">
        <f t="shared" si="17"/>
        <v>0</v>
      </c>
      <c r="K28" s="49">
        <f t="shared" si="18"/>
        <v>0</v>
      </c>
      <c r="L28" s="49">
        <f t="shared" si="19"/>
        <v>0</v>
      </c>
      <c r="M28" s="49">
        <f t="shared" si="20"/>
        <v>0</v>
      </c>
      <c r="N28" s="34"/>
      <c r="O28" s="34">
        <f t="shared" si="5"/>
        <v>0</v>
      </c>
    </row>
    <row r="29" spans="1:15" x14ac:dyDescent="0.25">
      <c r="A29" t="s">
        <v>109</v>
      </c>
      <c r="B29" s="33">
        <v>3531.7</v>
      </c>
      <c r="C29" s="33">
        <v>3724.16</v>
      </c>
      <c r="D29" s="33">
        <v>3980.1</v>
      </c>
      <c r="E29" s="33">
        <v>4213.97</v>
      </c>
      <c r="F29" s="33">
        <v>4616.78</v>
      </c>
      <c r="H29" t="s">
        <v>109</v>
      </c>
      <c r="I29" s="49">
        <f t="shared" si="16"/>
        <v>0.41723986787226447</v>
      </c>
      <c r="J29" s="49">
        <f t="shared" si="17"/>
        <v>0.31996929366313542</v>
      </c>
      <c r="K29" s="49">
        <f t="shared" si="18"/>
        <v>0.33386935634457471</v>
      </c>
      <c r="L29" s="49">
        <f t="shared" si="19"/>
        <v>0.18890978778489964</v>
      </c>
      <c r="M29" s="49">
        <f t="shared" si="20"/>
        <v>0.15801888691920216</v>
      </c>
      <c r="N29" s="34"/>
      <c r="O29" s="34">
        <f>M29-L29</f>
        <v>-3.0890900865697485E-2</v>
      </c>
    </row>
    <row r="30" spans="1:15" x14ac:dyDescent="0.25">
      <c r="A30" t="s">
        <v>110</v>
      </c>
      <c r="B30" s="33">
        <v>17335.47</v>
      </c>
      <c r="C30" s="33">
        <v>14654.68</v>
      </c>
      <c r="D30" s="33">
        <v>6654.04</v>
      </c>
      <c r="E30" s="33">
        <v>7674.34</v>
      </c>
      <c r="F30" s="33">
        <v>5082.7</v>
      </c>
      <c r="H30" t="s">
        <v>110</v>
      </c>
      <c r="I30" s="49">
        <f t="shared" si="16"/>
        <v>0.45934722391674687</v>
      </c>
      <c r="J30" s="49">
        <f t="shared" si="17"/>
        <v>0.58271728302070169</v>
      </c>
      <c r="K30" s="49">
        <f t="shared" si="18"/>
        <v>0.55817191826613755</v>
      </c>
      <c r="L30" s="49">
        <f t="shared" si="19"/>
        <v>0.74336561502610343</v>
      </c>
      <c r="M30" s="49">
        <f t="shared" si="20"/>
        <v>0.77564110021270827</v>
      </c>
      <c r="N30" s="34"/>
      <c r="O30" s="34">
        <f t="shared" si="5"/>
        <v>3.2275485186604835E-2</v>
      </c>
    </row>
    <row r="31" spans="1:15" x14ac:dyDescent="0.25">
      <c r="A31" t="s">
        <v>111</v>
      </c>
      <c r="B31">
        <v>0</v>
      </c>
      <c r="C31">
        <v>0</v>
      </c>
      <c r="D31">
        <v>0</v>
      </c>
      <c r="E31">
        <v>0</v>
      </c>
      <c r="F31">
        <v>0</v>
      </c>
      <c r="H31" t="s">
        <v>111</v>
      </c>
      <c r="I31" s="49">
        <f t="shared" si="16"/>
        <v>0</v>
      </c>
      <c r="J31" s="49">
        <f t="shared" si="17"/>
        <v>0</v>
      </c>
      <c r="K31" s="49">
        <f t="shared" si="18"/>
        <v>0</v>
      </c>
      <c r="L31" s="49">
        <f t="shared" si="19"/>
        <v>0</v>
      </c>
      <c r="M31" s="49">
        <f t="shared" si="20"/>
        <v>0</v>
      </c>
      <c r="N31" s="34"/>
      <c r="O31" s="34">
        <f t="shared" si="5"/>
        <v>0</v>
      </c>
    </row>
    <row r="32" spans="1:15" x14ac:dyDescent="0.25">
      <c r="A32" t="s">
        <v>112</v>
      </c>
      <c r="B32">
        <v>80.97</v>
      </c>
      <c r="C32">
        <v>79.849999999999994</v>
      </c>
      <c r="D32">
        <v>73.62</v>
      </c>
      <c r="E32">
        <v>102.53</v>
      </c>
      <c r="F32">
        <v>205.13</v>
      </c>
      <c r="H32" t="s">
        <v>112</v>
      </c>
      <c r="I32" s="49">
        <f t="shared" si="16"/>
        <v>1.8538551565514844E-2</v>
      </c>
      <c r="J32" s="49">
        <f t="shared" si="17"/>
        <v>7.7851649820196329E-3</v>
      </c>
      <c r="K32" s="49">
        <f t="shared" si="18"/>
        <v>6.1755890590908758E-3</v>
      </c>
      <c r="L32" s="49">
        <f t="shared" si="19"/>
        <v>4.0504292389758325E-3</v>
      </c>
      <c r="M32" s="49">
        <f t="shared" si="20"/>
        <v>3.6228414853605347E-3</v>
      </c>
      <c r="N32" s="34"/>
      <c r="O32" s="34">
        <f t="shared" si="5"/>
        <v>-4.2758775361529788E-4</v>
      </c>
    </row>
    <row r="33" spans="1:15" x14ac:dyDescent="0.25">
      <c r="A33" t="s">
        <v>113</v>
      </c>
      <c r="B33" s="33">
        <v>1401.72</v>
      </c>
      <c r="C33" s="33">
        <v>1255.27</v>
      </c>
      <c r="D33" s="33">
        <v>1213.3699999999999</v>
      </c>
      <c r="E33" s="33">
        <v>1179.08</v>
      </c>
      <c r="F33" s="33">
        <v>1160.44</v>
      </c>
      <c r="H33" t="s">
        <v>113</v>
      </c>
      <c r="I33" s="49">
        <f t="shared" si="16"/>
        <v>0.10487435664547383</v>
      </c>
      <c r="J33" s="49">
        <f t="shared" si="17"/>
        <v>8.9528258334143254E-2</v>
      </c>
      <c r="K33" s="49">
        <f t="shared" si="18"/>
        <v>0.10178313633019688</v>
      </c>
      <c r="L33" s="49">
        <f t="shared" si="19"/>
        <v>6.3674167950021204E-2</v>
      </c>
      <c r="M33" s="49">
        <f t="shared" si="20"/>
        <v>6.2717171382729017E-2</v>
      </c>
      <c r="N33" s="34"/>
      <c r="O33" s="34">
        <f t="shared" si="5"/>
        <v>-9.5699656729218707E-4</v>
      </c>
    </row>
    <row r="34" spans="1:15" x14ac:dyDescent="0.25">
      <c r="A34" t="s">
        <v>114</v>
      </c>
      <c r="B34" s="33">
        <v>22349.86</v>
      </c>
      <c r="C34" s="33">
        <v>19713.96</v>
      </c>
      <c r="D34" s="33">
        <v>11921.13</v>
      </c>
      <c r="E34" s="33">
        <v>13169.92</v>
      </c>
      <c r="F34" s="33">
        <v>11065.05</v>
      </c>
      <c r="H34" t="s">
        <v>114</v>
      </c>
      <c r="I34" s="49">
        <f>F34/F$34</f>
        <v>1</v>
      </c>
      <c r="J34" s="49">
        <f>E34/E$34</f>
        <v>1</v>
      </c>
      <c r="K34" s="49">
        <f>D34/D$34</f>
        <v>1</v>
      </c>
      <c r="L34" s="49">
        <f>C34/C$34</f>
        <v>1</v>
      </c>
      <c r="M34" s="49">
        <f>B34/B$34</f>
        <v>1</v>
      </c>
      <c r="N34" s="34"/>
      <c r="O34" s="34">
        <f t="shared" si="5"/>
        <v>0</v>
      </c>
    </row>
    <row r="35" spans="1:15" x14ac:dyDescent="0.25">
      <c r="A35" t="s">
        <v>115</v>
      </c>
      <c r="H35" t="s">
        <v>115</v>
      </c>
      <c r="N35" s="34"/>
      <c r="O35" s="34"/>
    </row>
    <row r="36" spans="1:15" x14ac:dyDescent="0.25">
      <c r="A36" t="s">
        <v>116</v>
      </c>
      <c r="B36">
        <v>77.97</v>
      </c>
      <c r="C36">
        <v>75.819999999999993</v>
      </c>
      <c r="D36">
        <v>212.6</v>
      </c>
      <c r="E36">
        <v>537.55999999999995</v>
      </c>
      <c r="F36">
        <v>334.1</v>
      </c>
      <c r="H36" t="s">
        <v>116</v>
      </c>
      <c r="I36" s="48">
        <f t="shared" ref="I36:I42" si="21">F36/F$43</f>
        <v>2.4646931416464533E-2</v>
      </c>
      <c r="J36" s="48">
        <f t="shared" ref="J36:J42" si="22">E36/E$43</f>
        <v>3.6528178599118936E-2</v>
      </c>
      <c r="K36" s="48">
        <f t="shared" ref="K36:K42" si="23">D36/D$43</f>
        <v>1.2751582851700171E-2</v>
      </c>
      <c r="L36" s="48">
        <f t="shared" ref="L36:L42" si="24">C36/C$43</f>
        <v>3.454299103485917E-3</v>
      </c>
      <c r="M36" s="48">
        <f t="shared" ref="M36:M42" si="25">B36/B$43</f>
        <v>3.1682397476135598E-3</v>
      </c>
      <c r="N36" s="34"/>
      <c r="O36" s="34">
        <f t="shared" si="5"/>
        <v>-2.8605935587235716E-4</v>
      </c>
    </row>
    <row r="37" spans="1:15" x14ac:dyDescent="0.25">
      <c r="A37" t="s">
        <v>117</v>
      </c>
      <c r="B37">
        <v>439.13</v>
      </c>
      <c r="C37">
        <v>781.86</v>
      </c>
      <c r="D37">
        <v>776.09</v>
      </c>
      <c r="E37">
        <v>236.34</v>
      </c>
      <c r="F37">
        <v>540.77</v>
      </c>
      <c r="H37" t="s">
        <v>117</v>
      </c>
      <c r="I37" s="48">
        <f t="shared" si="21"/>
        <v>3.9893208925715427E-2</v>
      </c>
      <c r="J37" s="48">
        <f t="shared" si="22"/>
        <v>1.6059732364974644E-2</v>
      </c>
      <c r="K37" s="48">
        <f t="shared" si="23"/>
        <v>4.654927533102534E-2</v>
      </c>
      <c r="L37" s="48">
        <f t="shared" si="24"/>
        <v>3.5620921881449476E-2</v>
      </c>
      <c r="M37" s="48">
        <f t="shared" si="25"/>
        <v>1.7843646535456489E-2</v>
      </c>
      <c r="N37" s="5"/>
      <c r="O37" s="34">
        <f t="shared" si="5"/>
        <v>-1.7777275345992986E-2</v>
      </c>
    </row>
    <row r="38" spans="1:15" x14ac:dyDescent="0.25">
      <c r="A38" t="s">
        <v>118</v>
      </c>
      <c r="B38">
        <v>623.75</v>
      </c>
      <c r="C38">
        <v>644.73</v>
      </c>
      <c r="D38">
        <v>300.51</v>
      </c>
      <c r="E38">
        <v>253</v>
      </c>
      <c r="F38">
        <v>797.12</v>
      </c>
      <c r="H38" t="s">
        <v>118</v>
      </c>
      <c r="I38" s="48">
        <f t="shared" si="21"/>
        <v>5.8804435709943752E-2</v>
      </c>
      <c r="J38" s="48">
        <f t="shared" si="22"/>
        <v>1.7191809631626406E-2</v>
      </c>
      <c r="K38" s="48">
        <f t="shared" si="23"/>
        <v>1.8024356362955872E-2</v>
      </c>
      <c r="L38" s="48">
        <f t="shared" si="24"/>
        <v>2.9373387773548872E-2</v>
      </c>
      <c r="M38" s="48">
        <f t="shared" si="25"/>
        <v>2.5345511640040504E-2</v>
      </c>
      <c r="O38" s="34">
        <f t="shared" si="5"/>
        <v>-4.0278761335083672E-3</v>
      </c>
    </row>
    <row r="39" spans="1:15" x14ac:dyDescent="0.25">
      <c r="A39" t="s">
        <v>119</v>
      </c>
      <c r="B39">
        <v>830.52</v>
      </c>
      <c r="C39">
        <v>435.08</v>
      </c>
      <c r="D39">
        <v>203.01</v>
      </c>
      <c r="E39">
        <v>127.33</v>
      </c>
      <c r="F39">
        <v>157.6</v>
      </c>
      <c r="H39" t="s">
        <v>119</v>
      </c>
      <c r="I39" s="48">
        <f t="shared" si="21"/>
        <v>1.1626328617883298E-2</v>
      </c>
      <c r="J39" s="48">
        <f t="shared" si="22"/>
        <v>8.6523048236956147E-3</v>
      </c>
      <c r="K39" s="48">
        <f t="shared" si="23"/>
        <v>1.217638210124013E-2</v>
      </c>
      <c r="L39" s="48">
        <f t="shared" si="24"/>
        <v>1.982189994651349E-2</v>
      </c>
      <c r="M39" s="48">
        <f t="shared" si="25"/>
        <v>3.3747421767192684E-2</v>
      </c>
      <c r="O39" s="34">
        <f t="shared" si="5"/>
        <v>1.3925521820679194E-2</v>
      </c>
    </row>
    <row r="40" spans="1:15" x14ac:dyDescent="0.25">
      <c r="A40" t="s">
        <v>120</v>
      </c>
      <c r="B40">
        <v>153.97999999999999</v>
      </c>
      <c r="C40">
        <v>118.41</v>
      </c>
      <c r="D40">
        <v>869.99</v>
      </c>
      <c r="E40">
        <v>65.84</v>
      </c>
      <c r="F40">
        <v>250.83</v>
      </c>
      <c r="H40" t="s">
        <v>120</v>
      </c>
      <c r="I40" s="48">
        <f t="shared" si="21"/>
        <v>1.8504010198119723E-2</v>
      </c>
      <c r="J40" s="48">
        <f t="shared" si="22"/>
        <v>4.4739476132264139E-3</v>
      </c>
      <c r="K40" s="48">
        <f t="shared" si="23"/>
        <v>5.2181324389231572E-2</v>
      </c>
      <c r="L40" s="48">
        <f t="shared" si="24"/>
        <v>5.3946657457632219E-3</v>
      </c>
      <c r="M40" s="48">
        <f t="shared" si="25"/>
        <v>6.2568366851037055E-3</v>
      </c>
      <c r="O40" s="34">
        <f t="shared" si="5"/>
        <v>8.6217093934048365E-4</v>
      </c>
    </row>
    <row r="41" spans="1:15" x14ac:dyDescent="0.25">
      <c r="A41" t="s">
        <v>121</v>
      </c>
      <c r="B41">
        <v>134.66999999999999</v>
      </c>
      <c r="C41">
        <v>179.6</v>
      </c>
      <c r="D41" s="33">
        <v>2389.11</v>
      </c>
      <c r="E41">
        <v>326.32</v>
      </c>
      <c r="F41">
        <v>409.97</v>
      </c>
      <c r="H41" t="s">
        <v>121</v>
      </c>
      <c r="I41" s="48">
        <f t="shared" si="21"/>
        <v>3.024394634183767E-2</v>
      </c>
      <c r="J41" s="48">
        <f t="shared" si="22"/>
        <v>2.2174036833961776E-2</v>
      </c>
      <c r="K41" s="48">
        <f t="shared" si="23"/>
        <v>0.14329696193238664</v>
      </c>
      <c r="L41" s="48">
        <f t="shared" si="24"/>
        <v>8.1824336452924126E-3</v>
      </c>
      <c r="M41" s="48">
        <f t="shared" si="25"/>
        <v>5.4721924690408884E-3</v>
      </c>
      <c r="O41" s="34">
        <f t="shared" si="5"/>
        <v>-2.7102411762515242E-3</v>
      </c>
    </row>
    <row r="42" spans="1:15" x14ac:dyDescent="0.25">
      <c r="A42" t="s">
        <v>122</v>
      </c>
      <c r="B42" s="33">
        <v>2260.02</v>
      </c>
      <c r="C42" s="33">
        <v>2235.5</v>
      </c>
      <c r="D42" s="33">
        <v>4751.3100000000004</v>
      </c>
      <c r="E42" s="33">
        <v>1546.39</v>
      </c>
      <c r="F42" s="33">
        <v>2490.39</v>
      </c>
      <c r="H42" t="s">
        <v>122</v>
      </c>
      <c r="I42" s="48">
        <f t="shared" si="21"/>
        <v>0.18371886120996439</v>
      </c>
      <c r="J42" s="48">
        <f t="shared" si="22"/>
        <v>0.1050800098666038</v>
      </c>
      <c r="K42" s="48">
        <f t="shared" si="23"/>
        <v>0.28497988296853977</v>
      </c>
      <c r="L42" s="48">
        <f t="shared" si="24"/>
        <v>0.10184760809605339</v>
      </c>
      <c r="M42" s="48">
        <f t="shared" si="25"/>
        <v>9.1833848844447841E-2</v>
      </c>
      <c r="O42" s="34">
        <f t="shared" si="5"/>
        <v>-1.0013759251605553E-2</v>
      </c>
    </row>
    <row r="43" spans="1:15" x14ac:dyDescent="0.25">
      <c r="A43" t="s">
        <v>123</v>
      </c>
      <c r="B43" s="33">
        <v>24609.88</v>
      </c>
      <c r="C43" s="33">
        <v>21949.46</v>
      </c>
      <c r="D43" s="33">
        <v>16672.439999999999</v>
      </c>
      <c r="E43" s="33">
        <v>14716.31</v>
      </c>
      <c r="F43" s="33">
        <v>13555.44</v>
      </c>
      <c r="H43" s="19" t="s">
        <v>123</v>
      </c>
      <c r="I43" s="48">
        <f>F43/F$43</f>
        <v>1</v>
      </c>
      <c r="J43" s="48">
        <f>E43/E$43</f>
        <v>1</v>
      </c>
      <c r="K43" s="48">
        <f>D43/D$43</f>
        <v>1</v>
      </c>
      <c r="L43" s="48">
        <f>C43/C$43</f>
        <v>1</v>
      </c>
      <c r="M43" s="48">
        <f>B43/B$43</f>
        <v>1</v>
      </c>
      <c r="O43" s="34">
        <f t="shared" si="5"/>
        <v>0</v>
      </c>
    </row>
    <row r="44" spans="1:15" x14ac:dyDescent="0.25">
      <c r="A44" t="s">
        <v>124</v>
      </c>
      <c r="H44" t="s">
        <v>124</v>
      </c>
      <c r="O44" s="34"/>
    </row>
    <row r="45" spans="1:15" x14ac:dyDescent="0.25">
      <c r="A45" t="s">
        <v>125</v>
      </c>
      <c r="H45" t="s">
        <v>125</v>
      </c>
      <c r="O45" s="34"/>
    </row>
    <row r="46" spans="1:15" x14ac:dyDescent="0.25">
      <c r="A46" t="s">
        <v>126</v>
      </c>
      <c r="B46" s="33">
        <v>4879.29</v>
      </c>
      <c r="C46" s="33">
        <v>4025.28</v>
      </c>
      <c r="D46" s="33">
        <v>3238.52</v>
      </c>
      <c r="E46" s="33">
        <v>1284.77</v>
      </c>
      <c r="F46" s="33">
        <v>1461.88</v>
      </c>
      <c r="H46" t="s">
        <v>126</v>
      </c>
      <c r="I46" s="47">
        <f>F46/F$46</f>
        <v>1</v>
      </c>
      <c r="J46" s="47">
        <f>E46/E$46</f>
        <v>1</v>
      </c>
      <c r="K46" s="47">
        <f>D46/D$46</f>
        <v>1</v>
      </c>
      <c r="L46" s="47">
        <f>C46/C$46</f>
        <v>1</v>
      </c>
      <c r="M46" s="47">
        <f>B46/B$46</f>
        <v>1</v>
      </c>
      <c r="O46" s="34">
        <f t="shared" si="5"/>
        <v>0</v>
      </c>
    </row>
    <row r="47" spans="1:15" x14ac:dyDescent="0.25">
      <c r="A47" t="s">
        <v>127</v>
      </c>
      <c r="H47" t="s">
        <v>127</v>
      </c>
      <c r="I47" s="47">
        <f t="shared" ref="I47:I51" si="26">F47/F$46</f>
        <v>0</v>
      </c>
      <c r="J47" s="47">
        <f t="shared" ref="J47:J51" si="27">E47/E$46</f>
        <v>0</v>
      </c>
      <c r="K47" s="47">
        <f t="shared" ref="K47:K51" si="28">D47/D$46</f>
        <v>0</v>
      </c>
      <c r="L47" s="47">
        <f t="shared" ref="L47:L51" si="29">C47/C$46</f>
        <v>0</v>
      </c>
      <c r="M47" s="47">
        <f t="shared" ref="M47:M51" si="30">B47/B$46</f>
        <v>0</v>
      </c>
      <c r="O47" s="34">
        <f t="shared" si="5"/>
        <v>0</v>
      </c>
    </row>
    <row r="48" spans="1:15" x14ac:dyDescent="0.25">
      <c r="A48" t="s">
        <v>128</v>
      </c>
      <c r="B48">
        <v>0</v>
      </c>
      <c r="C48">
        <v>0</v>
      </c>
      <c r="D48">
        <v>0</v>
      </c>
      <c r="E48">
        <v>0</v>
      </c>
      <c r="F48">
        <v>0</v>
      </c>
      <c r="H48" t="s">
        <v>128</v>
      </c>
      <c r="I48" s="47">
        <f t="shared" si="26"/>
        <v>0</v>
      </c>
      <c r="J48" s="47">
        <f t="shared" si="27"/>
        <v>0</v>
      </c>
      <c r="K48" s="47">
        <f t="shared" si="28"/>
        <v>0</v>
      </c>
      <c r="L48" s="47">
        <f t="shared" si="29"/>
        <v>0</v>
      </c>
      <c r="M48" s="47">
        <f t="shared" si="30"/>
        <v>0</v>
      </c>
      <c r="O48" s="34">
        <f t="shared" si="5"/>
        <v>0</v>
      </c>
    </row>
    <row r="49" spans="1:15" x14ac:dyDescent="0.25">
      <c r="A49" t="s">
        <v>129</v>
      </c>
      <c r="B49">
        <v>0</v>
      </c>
      <c r="C49">
        <v>0</v>
      </c>
      <c r="D49">
        <v>0</v>
      </c>
      <c r="E49">
        <v>0</v>
      </c>
      <c r="F49">
        <v>0</v>
      </c>
      <c r="H49" t="s">
        <v>129</v>
      </c>
      <c r="I49" s="47">
        <f t="shared" si="26"/>
        <v>0</v>
      </c>
      <c r="J49" s="47">
        <f t="shared" si="27"/>
        <v>0</v>
      </c>
      <c r="K49" s="47">
        <f t="shared" si="28"/>
        <v>0</v>
      </c>
      <c r="L49" s="47">
        <f t="shared" si="29"/>
        <v>0</v>
      </c>
      <c r="M49" s="47">
        <f t="shared" si="30"/>
        <v>0</v>
      </c>
      <c r="O49" s="34">
        <f t="shared" si="5"/>
        <v>0</v>
      </c>
    </row>
    <row r="50" spans="1:15" x14ac:dyDescent="0.25">
      <c r="A50" t="s">
        <v>130</v>
      </c>
      <c r="B50">
        <v>0</v>
      </c>
      <c r="C50">
        <v>0</v>
      </c>
      <c r="D50">
        <v>0</v>
      </c>
      <c r="E50">
        <v>0</v>
      </c>
      <c r="F50">
        <v>0</v>
      </c>
      <c r="H50" t="s">
        <v>130</v>
      </c>
      <c r="I50" s="47">
        <f t="shared" si="26"/>
        <v>0</v>
      </c>
      <c r="J50" s="47">
        <f t="shared" si="27"/>
        <v>0</v>
      </c>
      <c r="K50" s="47">
        <f t="shared" si="28"/>
        <v>0</v>
      </c>
      <c r="L50" s="47">
        <f t="shared" si="29"/>
        <v>0</v>
      </c>
      <c r="M50" s="47">
        <f t="shared" si="30"/>
        <v>0</v>
      </c>
      <c r="O50" s="34">
        <f t="shared" si="5"/>
        <v>0</v>
      </c>
    </row>
    <row r="51" spans="1:15" x14ac:dyDescent="0.25">
      <c r="A51" t="s">
        <v>131</v>
      </c>
      <c r="B51">
        <v>0</v>
      </c>
      <c r="C51">
        <v>0</v>
      </c>
      <c r="D51">
        <v>0</v>
      </c>
      <c r="E51">
        <v>0</v>
      </c>
      <c r="F51">
        <v>0</v>
      </c>
      <c r="H51" t="s">
        <v>131</v>
      </c>
      <c r="I51" s="47">
        <f t="shared" si="26"/>
        <v>0</v>
      </c>
      <c r="J51" s="47">
        <f t="shared" si="27"/>
        <v>0</v>
      </c>
      <c r="K51" s="47">
        <f t="shared" si="28"/>
        <v>0</v>
      </c>
      <c r="L51" s="47">
        <f t="shared" si="29"/>
        <v>0</v>
      </c>
      <c r="M51" s="47">
        <f t="shared" si="30"/>
        <v>0</v>
      </c>
      <c r="O51" s="34">
        <f t="shared" si="5"/>
        <v>0</v>
      </c>
    </row>
    <row r="52" spans="1:15" x14ac:dyDescent="0.25">
      <c r="A52" t="s">
        <v>132</v>
      </c>
      <c r="H52" t="s">
        <v>132</v>
      </c>
      <c r="O52" s="34"/>
    </row>
    <row r="53" spans="1:15" x14ac:dyDescent="0.25">
      <c r="A53" t="s">
        <v>133</v>
      </c>
      <c r="B53" s="33">
        <v>2167.14</v>
      </c>
      <c r="C53" s="33">
        <v>2224.2800000000002</v>
      </c>
      <c r="D53" s="33">
        <v>1350.06</v>
      </c>
      <c r="E53">
        <v>669.81</v>
      </c>
      <c r="F53" s="33">
        <v>2086.6799999999998</v>
      </c>
      <c r="H53" t="s">
        <v>133</v>
      </c>
      <c r="I53" s="49">
        <f>F53/F$53</f>
        <v>1</v>
      </c>
      <c r="J53" s="49">
        <f>E53/E$53</f>
        <v>1</v>
      </c>
      <c r="K53" s="49">
        <f>D53/D$53</f>
        <v>1</v>
      </c>
      <c r="L53" s="49">
        <f>C53/C$53</f>
        <v>1</v>
      </c>
      <c r="M53" s="49">
        <f>B53/B$53</f>
        <v>1</v>
      </c>
      <c r="O53" s="34">
        <f t="shared" si="5"/>
        <v>0</v>
      </c>
    </row>
    <row r="54" spans="1:15" x14ac:dyDescent="0.25">
      <c r="A54" t="s">
        <v>134</v>
      </c>
      <c r="H54" t="s">
        <v>134</v>
      </c>
      <c r="I54" s="49">
        <f t="shared" ref="I54:I59" si="31">F54/F$53</f>
        <v>0</v>
      </c>
      <c r="J54" s="49">
        <f t="shared" ref="J54:J59" si="32">E54/E$53</f>
        <v>0</v>
      </c>
      <c r="K54" s="49">
        <f t="shared" ref="K54:K59" si="33">D54/D$53</f>
        <v>0</v>
      </c>
      <c r="L54" s="49">
        <f t="shared" ref="L54:L59" si="34">C54/C$53</f>
        <v>0</v>
      </c>
      <c r="M54" s="49">
        <f t="shared" ref="M54:M59" si="35">B54/B$53</f>
        <v>0</v>
      </c>
      <c r="O54" s="34">
        <f t="shared" si="5"/>
        <v>0</v>
      </c>
    </row>
    <row r="55" spans="1:15" x14ac:dyDescent="0.25">
      <c r="A55" t="s">
        <v>135</v>
      </c>
      <c r="B55" t="s">
        <v>136</v>
      </c>
      <c r="C55" t="s">
        <v>136</v>
      </c>
      <c r="D55" t="s">
        <v>136</v>
      </c>
      <c r="E55" t="s">
        <v>136</v>
      </c>
      <c r="F55" t="s">
        <v>136</v>
      </c>
      <c r="H55" t="s">
        <v>135</v>
      </c>
      <c r="I55" s="49"/>
      <c r="J55" s="49"/>
      <c r="K55" s="49"/>
      <c r="L55" s="49"/>
      <c r="M55" s="49"/>
      <c r="O55" s="34"/>
    </row>
    <row r="56" spans="1:15" x14ac:dyDescent="0.25">
      <c r="A56" t="s">
        <v>137</v>
      </c>
      <c r="H56" t="s">
        <v>137</v>
      </c>
      <c r="I56" s="49">
        <f t="shared" si="31"/>
        <v>0</v>
      </c>
      <c r="J56" s="49">
        <f t="shared" si="32"/>
        <v>0</v>
      </c>
      <c r="K56" s="49">
        <f t="shared" si="33"/>
        <v>0</v>
      </c>
      <c r="L56" s="49">
        <f t="shared" si="34"/>
        <v>0</v>
      </c>
      <c r="M56" s="49">
        <f t="shared" si="35"/>
        <v>0</v>
      </c>
      <c r="O56" s="34">
        <f t="shared" si="5"/>
        <v>0</v>
      </c>
    </row>
    <row r="57" spans="1:15" x14ac:dyDescent="0.25">
      <c r="A57" t="s">
        <v>138</v>
      </c>
      <c r="B57" t="s">
        <v>136</v>
      </c>
      <c r="C57" t="s">
        <v>136</v>
      </c>
      <c r="D57" t="s">
        <v>136</v>
      </c>
      <c r="E57" t="s">
        <v>136</v>
      </c>
      <c r="F57" t="s">
        <v>136</v>
      </c>
      <c r="H57" t="s">
        <v>138</v>
      </c>
      <c r="I57" s="49"/>
      <c r="J57" s="49"/>
      <c r="K57" s="49"/>
      <c r="L57" s="49"/>
      <c r="M57" s="49"/>
      <c r="O57" s="34"/>
    </row>
    <row r="58" spans="1:15" x14ac:dyDescent="0.25">
      <c r="A58" t="s">
        <v>139</v>
      </c>
      <c r="B58">
        <v>1.93</v>
      </c>
      <c r="C58" t="s">
        <v>136</v>
      </c>
      <c r="D58" t="s">
        <v>136</v>
      </c>
      <c r="E58" t="s">
        <v>136</v>
      </c>
      <c r="F58" t="s">
        <v>136</v>
      </c>
      <c r="H58" t="s">
        <v>139</v>
      </c>
      <c r="I58" s="49"/>
      <c r="J58" s="49"/>
      <c r="K58" s="49"/>
      <c r="L58" s="49"/>
      <c r="M58" s="49">
        <f>B58/B$53</f>
        <v>8.9057467445573431E-4</v>
      </c>
      <c r="O58" s="34">
        <f t="shared" si="5"/>
        <v>8.9057467445573431E-4</v>
      </c>
    </row>
    <row r="59" spans="1:15" x14ac:dyDescent="0.25">
      <c r="A59" t="s">
        <v>140</v>
      </c>
      <c r="H59" t="s">
        <v>140</v>
      </c>
      <c r="I59" s="49">
        <f t="shared" si="31"/>
        <v>0</v>
      </c>
      <c r="J59" s="49">
        <f t="shared" si="32"/>
        <v>0</v>
      </c>
      <c r="K59" s="49">
        <f t="shared" si="33"/>
        <v>0</v>
      </c>
      <c r="L59" s="49">
        <f t="shared" si="34"/>
        <v>0</v>
      </c>
      <c r="M59" s="49">
        <f t="shared" si="35"/>
        <v>0</v>
      </c>
      <c r="O59" s="34">
        <f t="shared" si="5"/>
        <v>0</v>
      </c>
    </row>
    <row r="60" spans="1:15" x14ac:dyDescent="0.25">
      <c r="A60" t="s">
        <v>141</v>
      </c>
      <c r="B60">
        <v>987.41</v>
      </c>
      <c r="C60">
        <v>987.41</v>
      </c>
      <c r="D60">
        <v>987.41</v>
      </c>
      <c r="E60">
        <v>987.41</v>
      </c>
      <c r="F60">
        <v>987.41</v>
      </c>
      <c r="H60" t="s">
        <v>141</v>
      </c>
      <c r="I60" s="47">
        <f>F60/F$60</f>
        <v>1</v>
      </c>
      <c r="J60" s="47">
        <f>E60/E$60</f>
        <v>1</v>
      </c>
      <c r="K60" s="47">
        <f>D60/D$60</f>
        <v>1</v>
      </c>
      <c r="L60" s="47">
        <f>C60/C$60</f>
        <v>1</v>
      </c>
      <c r="M60" s="47">
        <f>B60/B$60</f>
        <v>1</v>
      </c>
      <c r="O60" s="34">
        <f t="shared" si="5"/>
        <v>0</v>
      </c>
    </row>
    <row r="61" spans="1:15" x14ac:dyDescent="0.25">
      <c r="A61" t="s">
        <v>142</v>
      </c>
      <c r="B61" s="33">
        <f>SUM(B62,B63)</f>
        <v>17413.440000000002</v>
      </c>
      <c r="C61" s="33">
        <f t="shared" ref="C61:F61" si="36">SUM(C62,C63)</f>
        <v>14730.5</v>
      </c>
      <c r="D61" s="33">
        <f t="shared" si="36"/>
        <v>5131.3599999999997</v>
      </c>
      <c r="E61" s="33">
        <f t="shared" si="36"/>
        <v>3293.5699999999997</v>
      </c>
      <c r="F61" s="33">
        <f t="shared" si="36"/>
        <v>1058.5900000000001</v>
      </c>
      <c r="H61" t="s">
        <v>142</v>
      </c>
      <c r="I61" s="48">
        <f>F61/F$61</f>
        <v>1</v>
      </c>
      <c r="J61" s="48">
        <f>E61/E$61</f>
        <v>1</v>
      </c>
      <c r="K61" s="48">
        <f>D61/D$61</f>
        <v>1</v>
      </c>
      <c r="L61" s="48">
        <f>C61/C$61</f>
        <v>1</v>
      </c>
      <c r="M61" s="48">
        <f>B61/B$61</f>
        <v>1</v>
      </c>
      <c r="O61" s="34">
        <f t="shared" si="5"/>
        <v>0</v>
      </c>
    </row>
    <row r="62" spans="1:15" x14ac:dyDescent="0.25">
      <c r="A62" t="s">
        <v>143</v>
      </c>
      <c r="B62" s="33">
        <v>5814.58</v>
      </c>
      <c r="C62" s="33">
        <v>4819.34</v>
      </c>
      <c r="D62" s="33">
        <v>5131.3599999999997</v>
      </c>
      <c r="E62" s="33">
        <v>3280.95</v>
      </c>
      <c r="F62" s="33">
        <v>1045.4100000000001</v>
      </c>
      <c r="H62" t="s">
        <v>143</v>
      </c>
      <c r="I62" s="48">
        <f t="shared" ref="I62:I63" si="37">F62/F$61</f>
        <v>0.98754947619002631</v>
      </c>
      <c r="J62" s="48">
        <f t="shared" ref="J62:J63" si="38">E62/E$61</f>
        <v>0.99616829154989872</v>
      </c>
      <c r="K62" s="48">
        <f t="shared" ref="K62" si="39">D62/D$61</f>
        <v>1</v>
      </c>
      <c r="L62" s="48">
        <f t="shared" ref="L62:L63" si="40">C62/C$61</f>
        <v>0.32716744170258988</v>
      </c>
      <c r="M62" s="48">
        <f t="shared" ref="M62:M63" si="41">B62/B$61</f>
        <v>0.33391334509436382</v>
      </c>
      <c r="O62" s="34">
        <f t="shared" si="5"/>
        <v>6.7459033917739442E-3</v>
      </c>
    </row>
    <row r="63" spans="1:15" x14ac:dyDescent="0.25">
      <c r="A63" t="s">
        <v>144</v>
      </c>
      <c r="B63" s="33">
        <v>11598.86</v>
      </c>
      <c r="C63" s="33">
        <v>9911.16</v>
      </c>
      <c r="D63" t="s">
        <v>136</v>
      </c>
      <c r="E63">
        <v>12.62</v>
      </c>
      <c r="F63">
        <v>13.18</v>
      </c>
      <c r="H63" t="s">
        <v>144</v>
      </c>
      <c r="I63" s="48">
        <f t="shared" si="37"/>
        <v>1.2450523809973642E-2</v>
      </c>
      <c r="J63" s="48">
        <f t="shared" si="38"/>
        <v>3.831708450101258E-3</v>
      </c>
      <c r="K63" s="48"/>
      <c r="L63" s="48">
        <f t="shared" si="40"/>
        <v>0.67283255829741018</v>
      </c>
      <c r="M63" s="48">
        <f t="shared" si="41"/>
        <v>0.66608665490563601</v>
      </c>
      <c r="O63" s="34">
        <f t="shared" si="5"/>
        <v>-6.7459033917741662E-3</v>
      </c>
    </row>
    <row r="64" spans="1:15" x14ac:dyDescent="0.25">
      <c r="A64" t="s">
        <v>145</v>
      </c>
      <c r="H64" t="s">
        <v>145</v>
      </c>
      <c r="O64" s="34"/>
    </row>
    <row r="65" spans="1:15" x14ac:dyDescent="0.25">
      <c r="A65" t="s">
        <v>146</v>
      </c>
      <c r="B65" t="s">
        <v>136</v>
      </c>
      <c r="C65" t="s">
        <v>136</v>
      </c>
      <c r="D65" t="s">
        <v>136</v>
      </c>
      <c r="E65" t="s">
        <v>136</v>
      </c>
      <c r="F65" t="s">
        <v>136</v>
      </c>
      <c r="H65" t="s">
        <v>146</v>
      </c>
      <c r="I65" s="47"/>
      <c r="J65" s="47"/>
      <c r="K65" s="47"/>
      <c r="L65" s="47"/>
      <c r="M65" s="47"/>
      <c r="N65" s="47"/>
      <c r="O65" s="34"/>
    </row>
    <row r="66" spans="1:15" x14ac:dyDescent="0.25">
      <c r="A66" t="s">
        <v>147</v>
      </c>
      <c r="B66">
        <v>77.97</v>
      </c>
      <c r="C66">
        <v>75.819999999999993</v>
      </c>
      <c r="D66">
        <v>212.6</v>
      </c>
      <c r="E66">
        <v>537.55999999999995</v>
      </c>
      <c r="F66">
        <v>334.1</v>
      </c>
      <c r="H66" t="s">
        <v>147</v>
      </c>
      <c r="I66" s="47">
        <f>F66/F$66</f>
        <v>1</v>
      </c>
      <c r="J66" s="47">
        <f>E66/E$66</f>
        <v>1</v>
      </c>
      <c r="K66" s="47">
        <f>D66/D$66</f>
        <v>1</v>
      </c>
      <c r="L66" s="47">
        <f>C66/C$66</f>
        <v>1</v>
      </c>
      <c r="M66" s="47">
        <f>B66/B$66</f>
        <v>1</v>
      </c>
      <c r="N66" s="47"/>
      <c r="O66" s="34">
        <f t="shared" si="5"/>
        <v>0</v>
      </c>
    </row>
    <row r="67" spans="1:15" x14ac:dyDescent="0.25">
      <c r="O67" s="5"/>
    </row>
    <row r="68" spans="1:15" x14ac:dyDescent="0.25">
      <c r="O68" s="5"/>
    </row>
  </sheetData>
  <conditionalFormatting sqref="I5:M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{86876968-6C96-4FA1-8790-71D01C78234B}</x14:id>
        </ext>
      </extLst>
    </cfRule>
  </conditionalFormatting>
  <conditionalFormatting sqref="I11:M15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{417A396A-E884-4B13-B3AA-03D91D5E3560}</x14:id>
        </ext>
      </extLst>
    </cfRule>
  </conditionalFormatting>
  <conditionalFormatting sqref="I17:M22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{C81EEC93-761F-441A-B53E-B5F48A108317}</x14:id>
        </ext>
      </extLst>
    </cfRule>
  </conditionalFormatting>
  <conditionalFormatting sqref="I25:M34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{D3C4D59C-027E-4D83-B708-72879A93A9A0}</x14:id>
        </ext>
      </extLst>
    </cfRule>
  </conditionalFormatting>
  <conditionalFormatting sqref="I36:M43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{5FA747DD-D851-422A-903C-975CB37C9697}</x14:id>
        </ext>
      </extLst>
    </cfRule>
  </conditionalFormatting>
  <conditionalFormatting sqref="I46:M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{7D82D055-B6AC-4347-8852-44BCD9D4E87C}</x14:id>
        </ext>
      </extLst>
    </cfRule>
  </conditionalFormatting>
  <conditionalFormatting sqref="I53:M63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{3F8744AE-C4BF-41B9-BC11-608F44A6F308}</x14:id>
        </ext>
      </extLst>
    </cfRule>
  </conditionalFormatting>
  <conditionalFormatting sqref="I66:M6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{1988103E-0839-4E96-964F-31D96E8968AD}</x14:id>
        </ext>
      </extLst>
    </cfRule>
  </conditionalFormatting>
  <conditionalFormatting sqref="O5:O66">
    <cfRule type="iconSet" priority="2">
      <iconSet iconSet="3Arrows">
        <cfvo type="percent" val="0"/>
        <cfvo type="percent" val="33"/>
        <cfvo type="percent" val="67"/>
      </iconSet>
    </cfRule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876968-6C96-4FA1-8790-71D01C7823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I5:M9</xm:sqref>
        </x14:conditionalFormatting>
        <x14:conditionalFormatting xmlns:xm="http://schemas.microsoft.com/office/excel/2006/main">
          <x14:cfRule type="dataBar" id="{417A396A-E884-4B13-B3AA-03D91D5E35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I11:M15</xm:sqref>
        </x14:conditionalFormatting>
        <x14:conditionalFormatting xmlns:xm="http://schemas.microsoft.com/office/excel/2006/main">
          <x14:cfRule type="dataBar" id="{C81EEC93-761F-441A-B53E-B5F48A1083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I17:M22</xm:sqref>
        </x14:conditionalFormatting>
        <x14:conditionalFormatting xmlns:xm="http://schemas.microsoft.com/office/excel/2006/main">
          <x14:cfRule type="dataBar" id="{D3C4D59C-027E-4D83-B708-72879A93A9A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I25:M34</xm:sqref>
        </x14:conditionalFormatting>
        <x14:conditionalFormatting xmlns:xm="http://schemas.microsoft.com/office/excel/2006/main">
          <x14:cfRule type="dataBar" id="{5FA747DD-D851-422A-903C-975CB37C969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I36:M43</xm:sqref>
        </x14:conditionalFormatting>
        <x14:conditionalFormatting xmlns:xm="http://schemas.microsoft.com/office/excel/2006/main">
          <x14:cfRule type="dataBar" id="{7D82D055-B6AC-4347-8852-44BCD9D4E87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I46:M51</xm:sqref>
        </x14:conditionalFormatting>
        <x14:conditionalFormatting xmlns:xm="http://schemas.microsoft.com/office/excel/2006/main">
          <x14:cfRule type="dataBar" id="{3F8744AE-C4BF-41B9-BC11-608F44A6F3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I53:M63</xm:sqref>
        </x14:conditionalFormatting>
        <x14:conditionalFormatting xmlns:xm="http://schemas.microsoft.com/office/excel/2006/main">
          <x14:cfRule type="dataBar" id="{1988103E-0839-4E96-964F-31D96E896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I66:M66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4A59-A9B3-4DA4-9DBB-84B8EE57AB72}">
  <dimension ref="A1:D24"/>
  <sheetViews>
    <sheetView workbookViewId="0">
      <selection activeCell="J20" sqref="J20"/>
    </sheetView>
  </sheetViews>
  <sheetFormatPr defaultRowHeight="15" x14ac:dyDescent="0.25"/>
  <cols>
    <col min="1" max="1" width="34.85546875" bestFit="1" customWidth="1"/>
  </cols>
  <sheetData>
    <row r="1" spans="1:4" x14ac:dyDescent="0.25">
      <c r="A1" s="21" t="s">
        <v>212</v>
      </c>
      <c r="B1" s="41">
        <v>2024</v>
      </c>
      <c r="C1" s="41">
        <v>2023</v>
      </c>
      <c r="D1" s="60"/>
    </row>
    <row r="2" spans="1:4" x14ac:dyDescent="0.25">
      <c r="A2" t="s">
        <v>197</v>
      </c>
    </row>
    <row r="3" spans="1:4" x14ac:dyDescent="0.25">
      <c r="A3" t="s">
        <v>198</v>
      </c>
      <c r="B3" s="48">
        <f>'Balance Sheet'!B44/'Balance Sheet'!B21</f>
        <v>0.57824093500220031</v>
      </c>
      <c r="C3" s="49">
        <f>'Balance Sheet'!C44/'Balance Sheet'!C21</f>
        <v>0.53362136872508537</v>
      </c>
    </row>
    <row r="4" spans="1:4" x14ac:dyDescent="0.25">
      <c r="A4" t="s">
        <v>199</v>
      </c>
      <c r="B4" s="48">
        <f>('Balance Sheet'!B44-'Balance Sheet'!B39)/'Balance Sheet'!B21</f>
        <v>0.46588664531117269</v>
      </c>
      <c r="C4" s="48">
        <f>('Balance Sheet'!C44-'Balance Sheet'!C39)/'Balance Sheet'!C21</f>
        <v>0.34698875707158711</v>
      </c>
    </row>
    <row r="5" spans="1:4" x14ac:dyDescent="0.25">
      <c r="A5" t="s">
        <v>200</v>
      </c>
      <c r="B5" s="48">
        <f>'Balance Sheet'!B23/'Balance Sheet'!B9</f>
        <v>0.62849381784734704</v>
      </c>
      <c r="C5" s="48">
        <f>'Balance Sheet'!C23/'Balance Sheet'!C9</f>
        <v>0.61281495671009978</v>
      </c>
    </row>
    <row r="6" spans="1:4" x14ac:dyDescent="0.25">
      <c r="A6" t="s">
        <v>201</v>
      </c>
      <c r="B6" s="48">
        <f>'Balance Sheet'!B24/'Balance Sheet'!B45</f>
        <v>0.28464096533587319</v>
      </c>
      <c r="C6" s="48">
        <f>'Balance Sheet'!C24/'Balance Sheet'!C45</f>
        <v>0.28582115459788082</v>
      </c>
    </row>
    <row r="7" spans="1:4" x14ac:dyDescent="0.25">
      <c r="B7" s="48"/>
      <c r="C7" s="48"/>
    </row>
    <row r="8" spans="1:4" x14ac:dyDescent="0.25">
      <c r="A8" t="s">
        <v>202</v>
      </c>
      <c r="B8" s="48"/>
      <c r="C8" s="48"/>
    </row>
    <row r="9" spans="1:4" x14ac:dyDescent="0.25">
      <c r="A9" t="s">
        <v>203</v>
      </c>
      <c r="B9" s="48">
        <f>'Income Statement'!B31/'Income Statement'!B9</f>
        <v>0.17796081648247306</v>
      </c>
      <c r="C9" s="48">
        <f>'Income Statement'!C31/'Income Statement'!C9</f>
        <v>0.11812768728775826</v>
      </c>
    </row>
    <row r="10" spans="1:4" x14ac:dyDescent="0.25">
      <c r="A10" t="s">
        <v>204</v>
      </c>
      <c r="B10" s="48">
        <f>'Income Statement'!B18/'Balance Sheet'!B48</f>
        <v>5.074427601422183E-2</v>
      </c>
      <c r="C10" s="48">
        <f>'Income Statement'!C18/'Balance Sheet'!C48</f>
        <v>4.7103327386793493E-2</v>
      </c>
    </row>
    <row r="11" spans="1:4" x14ac:dyDescent="0.25">
      <c r="A11" t="s">
        <v>205</v>
      </c>
      <c r="B11" s="48">
        <f>'Income Statement'!B18/'Balance Sheet'!B9</f>
        <v>7.8170069580235604E-2</v>
      </c>
      <c r="C11" s="48">
        <f>'Income Statement'!C18/'Balance Sheet'!C9</f>
        <v>6.6836843037280796E-2</v>
      </c>
    </row>
    <row r="12" spans="1:4" x14ac:dyDescent="0.25">
      <c r="A12" t="s">
        <v>217</v>
      </c>
      <c r="B12" s="48">
        <f>457.73/('Balance Sheet'!B45-'Balance Sheet'!B21)</f>
        <v>2.2111022228405365E-2</v>
      </c>
      <c r="C12" s="48">
        <f>268.19/('Balance Sheet'!C45-'Balance Sheet'!C21)</f>
        <v>1.5100652246376158E-2</v>
      </c>
    </row>
    <row r="14" spans="1:4" x14ac:dyDescent="0.25">
      <c r="A14" t="s">
        <v>206</v>
      </c>
    </row>
    <row r="15" spans="1:4" x14ac:dyDescent="0.25">
      <c r="A15" t="s">
        <v>207</v>
      </c>
      <c r="B15" s="53">
        <f>'Income Statement'!B19/'Balance Sheet'!B48</f>
        <v>5.3092247441651884E-2</v>
      </c>
      <c r="C15" s="53">
        <f>'Income Statement'!C19/'Balance Sheet'!C48</f>
        <v>8.5269756278173806E-2</v>
      </c>
    </row>
    <row r="16" spans="1:4" x14ac:dyDescent="0.25">
      <c r="A16" t="s">
        <v>219</v>
      </c>
      <c r="B16" s="53">
        <f>'Income Statement'!B19/'Balance Sheet'!B47</f>
        <v>1.9487418012108981</v>
      </c>
      <c r="C16" s="53">
        <f>'Income Statement'!C19/'Balance Sheet'!C47</f>
        <v>3.4840675384029454</v>
      </c>
    </row>
    <row r="17" spans="1:3" x14ac:dyDescent="0.25">
      <c r="A17" t="s">
        <v>208</v>
      </c>
      <c r="B17" s="53">
        <f>'Income Statement'!B44/'Balance Sheet'!B47</f>
        <v>16.431524344096871</v>
      </c>
      <c r="C17" s="53">
        <f>'Income Statement'!C44/'Balance Sheet'!C47</f>
        <v>12.85933731115907</v>
      </c>
    </row>
    <row r="18" spans="1:3" x14ac:dyDescent="0.25">
      <c r="A18" t="s">
        <v>209</v>
      </c>
      <c r="B18" s="54">
        <f>'Income Statement'!B19/'Balance Sheet'!B50</f>
        <v>-0.68622682679014602</v>
      </c>
      <c r="C18" s="54">
        <f>'Income Statement'!C19/'Balance Sheet'!C50</f>
        <v>2.8163820307355496</v>
      </c>
    </row>
    <row r="20" spans="1:3" x14ac:dyDescent="0.25">
      <c r="A20" t="s">
        <v>210</v>
      </c>
    </row>
    <row r="21" spans="1:3" x14ac:dyDescent="0.25">
      <c r="A21" t="s">
        <v>185</v>
      </c>
      <c r="B21">
        <v>20</v>
      </c>
      <c r="C21">
        <v>20</v>
      </c>
    </row>
    <row r="22" spans="1:3" x14ac:dyDescent="0.25">
      <c r="A22" t="s">
        <v>211</v>
      </c>
      <c r="B22" s="49">
        <f>2/529.8</f>
        <v>3.7750094375235939E-3</v>
      </c>
      <c r="C22" s="49">
        <f>2/240.85</f>
        <v>8.3039236039028439E-3</v>
      </c>
    </row>
    <row r="23" spans="1:3" x14ac:dyDescent="0.25">
      <c r="A23" t="s">
        <v>224</v>
      </c>
      <c r="B23" s="54">
        <f>638.34/9</f>
        <v>70.926666666666677</v>
      </c>
      <c r="C23" s="54">
        <f>451.96/7.2</f>
        <v>62.772222222222219</v>
      </c>
    </row>
    <row r="24" spans="1:3" x14ac:dyDescent="0.25">
      <c r="A24" t="s">
        <v>225</v>
      </c>
      <c r="B24" s="54">
        <f>98041/'Balance Sheet'!B46</f>
        <v>6.4876042628233757</v>
      </c>
      <c r="C24" s="54">
        <f>97823/'Balance Sheet'!C46</f>
        <v>7.1878942584579351</v>
      </c>
    </row>
  </sheetData>
  <conditionalFormatting sqref="B3:C6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{4515B4A5-F0F0-4EF3-875D-D8B10D28F292}</x14:id>
        </ext>
      </extLst>
    </cfRule>
  </conditionalFormatting>
  <conditionalFormatting sqref="B9:C12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{3B0FF0A9-409C-4BED-83E1-AE5D907A49E3}</x14:id>
        </ext>
      </extLst>
    </cfRule>
  </conditionalFormatting>
  <conditionalFormatting sqref="B21:C24">
    <cfRule type="colorScale" priority="3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max"/>
        <color theme="5" tint="0.39997558519241921"/>
        <color theme="7" tint="0.39997558519241921"/>
      </colorScale>
    </cfRule>
  </conditionalFormatting>
  <conditionalFormatting sqref="B15:C18">
    <cfRule type="colorScale" priority="1">
      <colorScale>
        <cfvo type="min"/>
        <cfvo type="max"/>
        <color theme="5" tint="0.39997558519241921"/>
        <color theme="7" tint="0.39997558519241921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15B4A5-F0F0-4EF3-875D-D8B10D28F29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B3:C6</xm:sqref>
        </x14:conditionalFormatting>
        <x14:conditionalFormatting xmlns:xm="http://schemas.microsoft.com/office/excel/2006/main">
          <x14:cfRule type="dataBar" id="{3B0FF0A9-409C-4BED-83E1-AE5D907A49E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B9:C12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090BDE-4513-4158-AFB8-5A41C12EEB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JSWENERGY stock Analysis</vt:lpstr>
      <vt:lpstr>Trend Analysis of Stock</vt:lpstr>
      <vt:lpstr>Trend Analysis of Volume</vt:lpstr>
      <vt:lpstr>ROI Calculation</vt:lpstr>
      <vt:lpstr>Standard D &amp; Variance</vt:lpstr>
      <vt:lpstr>Moving Averages calculation</vt:lpstr>
      <vt:lpstr>RSI Calculation</vt:lpstr>
      <vt:lpstr>MACD</vt:lpstr>
      <vt:lpstr>Balance Sheet</vt:lpstr>
      <vt:lpstr>Income Statement</vt:lpstr>
      <vt:lpstr>Horizontal analysis of P&amp;L</vt:lpstr>
      <vt:lpstr>Horizontal analysis of BS</vt:lpstr>
      <vt:lpstr>Variance Analysis P&amp;L</vt:lpstr>
      <vt:lpstr>Vertical Analysis P&amp;L</vt:lpstr>
      <vt:lpstr>Vertical Analysis BS</vt:lpstr>
      <vt:lpstr>Ratio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2025-03-17T09:55:43Z</dcterms:created>
  <dcterms:modified xsi:type="dcterms:W3CDTF">2025-03-31T08:03:58Z</dcterms:modified>
</cp:coreProperties>
</file>